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CE2C870-A4E1-4410-9BF6-DD3BAEE45209}" xr6:coauthVersionLast="47" xr6:coauthVersionMax="47" xr10:uidLastSave="{00000000-0000-0000-0000-000000000000}"/>
  <bookViews>
    <workbookView xWindow="-110" yWindow="-110" windowWidth="19420" windowHeight="10420" tabRatio="713" activeTab="7" xr2:uid="{BD4A2982-4944-470B-A265-04031D2C9D2C}"/>
  </bookViews>
  <sheets>
    <sheet name="Input" sheetId="10" r:id="rId1"/>
    <sheet name="Revenue" sheetId="5" r:id="rId2"/>
    <sheet name="Fixed Assets" sheetId="3" r:id="rId3"/>
    <sheet name="P&amp;L" sheetId="4" r:id="rId4"/>
    <sheet name="Balance Sheet" sheetId="2" r:id="rId5"/>
    <sheet name="Cashflow" sheetId="1" r:id="rId6"/>
    <sheet name="Rentals" sheetId="6" r:id="rId7"/>
    <sheet name="Mc Donalds Franchise" sheetId="9" r:id="rId8"/>
    <sheet name="Output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5" l="1"/>
  <c r="G4" i="5"/>
  <c r="F4" i="5"/>
  <c r="E4" i="5"/>
  <c r="C2" i="9"/>
  <c r="D2" i="9" s="1"/>
  <c r="E2" i="9" s="1"/>
  <c r="F2" i="9" s="1"/>
  <c r="G2" i="9" s="1"/>
  <c r="H2" i="9" s="1"/>
  <c r="C3" i="9"/>
  <c r="D26" i="1"/>
  <c r="H20" i="1"/>
  <c r="G20" i="1"/>
  <c r="F20" i="1"/>
  <c r="E20" i="1"/>
  <c r="D19" i="1"/>
  <c r="D18" i="1"/>
  <c r="D17" i="1"/>
  <c r="D16" i="1"/>
  <c r="D15" i="1"/>
  <c r="D14" i="1"/>
  <c r="H6" i="1"/>
  <c r="H7" i="9" s="1"/>
  <c r="G6" i="1"/>
  <c r="G7" i="9" s="1"/>
  <c r="F6" i="1"/>
  <c r="F7" i="9" s="1"/>
  <c r="E6" i="1"/>
  <c r="E7" i="9" s="1"/>
  <c r="D6" i="1"/>
  <c r="D7" i="9" s="1"/>
  <c r="B24" i="10"/>
  <c r="C9" i="9" s="1"/>
  <c r="C10" i="9" s="1"/>
  <c r="C12" i="9" s="1"/>
  <c r="C29" i="2"/>
  <c r="D45" i="3"/>
  <c r="D55" i="3"/>
  <c r="D35" i="3"/>
  <c r="D25" i="3"/>
  <c r="D15" i="3"/>
  <c r="D5" i="3"/>
  <c r="C54" i="3"/>
  <c r="C57" i="3" s="1"/>
  <c r="C44" i="3"/>
  <c r="C47" i="3" s="1"/>
  <c r="C34" i="3"/>
  <c r="C37" i="3" s="1"/>
  <c r="C24" i="3"/>
  <c r="C27" i="3" s="1"/>
  <c r="C17" i="3"/>
  <c r="C19" i="3" s="1"/>
  <c r="C14" i="3"/>
  <c r="C4" i="3"/>
  <c r="C7" i="3" s="1"/>
  <c r="C36" i="5"/>
  <c r="C3" i="6"/>
  <c r="H10" i="6"/>
  <c r="C6" i="6"/>
  <c r="C4" i="6"/>
  <c r="C2" i="5"/>
  <c r="C4" i="5" s="1"/>
  <c r="C2" i="4"/>
  <c r="D2" i="4" s="1"/>
  <c r="E2" i="4" s="1"/>
  <c r="F2" i="4" s="1"/>
  <c r="G2" i="4" s="1"/>
  <c r="H2" i="4" s="1"/>
  <c r="H24" i="4" s="1"/>
  <c r="C2" i="3"/>
  <c r="D2" i="3" s="1"/>
  <c r="E2" i="3" s="1"/>
  <c r="F2" i="3" s="1"/>
  <c r="G2" i="3" s="1"/>
  <c r="H2" i="3" s="1"/>
  <c r="C2" i="2"/>
  <c r="D2" i="2" s="1"/>
  <c r="E2" i="2" s="1"/>
  <c r="F2" i="2" s="1"/>
  <c r="G2" i="2" s="1"/>
  <c r="H2" i="2" s="1"/>
  <c r="C2" i="1"/>
  <c r="D2" i="1" s="1"/>
  <c r="E2" i="1" s="1"/>
  <c r="F2" i="1" s="1"/>
  <c r="G2" i="1" s="1"/>
  <c r="H2" i="1" s="1"/>
  <c r="C2" i="8"/>
  <c r="D2" i="8" s="1"/>
  <c r="E2" i="8" s="1"/>
  <c r="F2" i="8" s="1"/>
  <c r="G2" i="8" s="1"/>
  <c r="H2" i="8" s="1"/>
  <c r="C2" i="6"/>
  <c r="D2" i="6" s="1"/>
  <c r="D5" i="2" l="1"/>
  <c r="D20" i="1"/>
  <c r="D4" i="3"/>
  <c r="D7" i="3" s="1"/>
  <c r="C9" i="3"/>
  <c r="C59" i="3"/>
  <c r="D54" i="3"/>
  <c r="D57" i="3" s="1"/>
  <c r="D58" i="3" s="1"/>
  <c r="D61" i="3" s="1"/>
  <c r="C49" i="3"/>
  <c r="D44" i="3"/>
  <c r="D47" i="3" s="1"/>
  <c r="D48" i="3" s="1"/>
  <c r="D51" i="3" s="1"/>
  <c r="C39" i="3"/>
  <c r="D34" i="3"/>
  <c r="D37" i="3" s="1"/>
  <c r="D38" i="3" s="1"/>
  <c r="D41" i="3" s="1"/>
  <c r="D24" i="3"/>
  <c r="D27" i="3" s="1"/>
  <c r="D28" i="3" s="1"/>
  <c r="D31" i="3" s="1"/>
  <c r="C29" i="3"/>
  <c r="D14" i="3"/>
  <c r="D17" i="3" s="1"/>
  <c r="D18" i="3" s="1"/>
  <c r="D21" i="3" s="1"/>
  <c r="F24" i="4"/>
  <c r="H23" i="4"/>
  <c r="G25" i="4"/>
  <c r="G23" i="4"/>
  <c r="D19" i="4"/>
  <c r="E19" i="4" s="1"/>
  <c r="F19" i="4" s="1"/>
  <c r="G19" i="4" s="1"/>
  <c r="H19" i="4" s="1"/>
  <c r="F25" i="4"/>
  <c r="E23" i="4"/>
  <c r="H25" i="4"/>
  <c r="D20" i="4"/>
  <c r="E20" i="4" s="1"/>
  <c r="F20" i="4" s="1"/>
  <c r="G20" i="4" s="1"/>
  <c r="H20" i="4" s="1"/>
  <c r="E25" i="4"/>
  <c r="H22" i="4"/>
  <c r="E22" i="4"/>
  <c r="D24" i="4"/>
  <c r="D22" i="4"/>
  <c r="G22" i="4"/>
  <c r="D25" i="4"/>
  <c r="G24" i="4"/>
  <c r="F22" i="4"/>
  <c r="D18" i="4"/>
  <c r="E18" i="4" s="1"/>
  <c r="F18" i="4" s="1"/>
  <c r="G18" i="4" s="1"/>
  <c r="H18" i="4" s="1"/>
  <c r="D23" i="4"/>
  <c r="E24" i="4"/>
  <c r="F23" i="4"/>
  <c r="D4" i="6"/>
  <c r="E4" i="6" s="1"/>
  <c r="F4" i="6" s="1"/>
  <c r="G4" i="6" s="1"/>
  <c r="H4" i="6" s="1"/>
  <c r="C8" i="5"/>
  <c r="C9" i="5"/>
  <c r="C39" i="5" s="1"/>
  <c r="C11" i="5"/>
  <c r="C13" i="5"/>
  <c r="C19" i="5"/>
  <c r="D5" i="6"/>
  <c r="D7" i="6" s="1"/>
  <c r="E2" i="6"/>
  <c r="C7" i="6"/>
  <c r="C9" i="6" s="1"/>
  <c r="C11" i="6" s="1"/>
  <c r="D2" i="5"/>
  <c r="C3" i="5"/>
  <c r="C5" i="5" s="1"/>
  <c r="D8" i="3" l="1"/>
  <c r="D11" i="3" s="1"/>
  <c r="D23" i="1"/>
  <c r="E5" i="2"/>
  <c r="E4" i="3"/>
  <c r="D59" i="3"/>
  <c r="E54" i="3"/>
  <c r="E57" i="3" s="1"/>
  <c r="E58" i="3" s="1"/>
  <c r="D49" i="3"/>
  <c r="E44" i="3"/>
  <c r="E47" i="3" s="1"/>
  <c r="E48" i="3" s="1"/>
  <c r="D39" i="3"/>
  <c r="E34" i="3"/>
  <c r="E37" i="3" s="1"/>
  <c r="E38" i="3" s="1"/>
  <c r="D29" i="3"/>
  <c r="E24" i="3"/>
  <c r="E27" i="3" s="1"/>
  <c r="E28" i="3" s="1"/>
  <c r="D19" i="3"/>
  <c r="E14" i="3"/>
  <c r="E17" i="3" s="1"/>
  <c r="E18" i="3" s="1"/>
  <c r="D19" i="5"/>
  <c r="D11" i="5"/>
  <c r="D13" i="5"/>
  <c r="D8" i="5"/>
  <c r="D9" i="5"/>
  <c r="D8" i="6"/>
  <c r="D9" i="6" s="1"/>
  <c r="D11" i="6" s="1"/>
  <c r="D4" i="5"/>
  <c r="D3" i="5"/>
  <c r="E2" i="5"/>
  <c r="E5" i="6"/>
  <c r="E7" i="6" s="1"/>
  <c r="F2" i="6"/>
  <c r="D9" i="3" l="1"/>
  <c r="E7" i="3"/>
  <c r="F4" i="3" s="1"/>
  <c r="F7" i="3" s="1"/>
  <c r="F21" i="2" s="1"/>
  <c r="F38" i="3"/>
  <c r="F41" i="3" s="1"/>
  <c r="E41" i="3"/>
  <c r="E51" i="3"/>
  <c r="E23" i="1"/>
  <c r="F5" i="2"/>
  <c r="E21" i="3"/>
  <c r="F58" i="3"/>
  <c r="F61" i="3" s="1"/>
  <c r="E61" i="3"/>
  <c r="E31" i="3"/>
  <c r="E59" i="3"/>
  <c r="F54" i="3"/>
  <c r="F57" i="3" s="1"/>
  <c r="E49" i="3"/>
  <c r="F44" i="3"/>
  <c r="F47" i="3" s="1"/>
  <c r="F48" i="3" s="1"/>
  <c r="F34" i="3"/>
  <c r="F37" i="3" s="1"/>
  <c r="E39" i="3"/>
  <c r="E29" i="3"/>
  <c r="F24" i="3"/>
  <c r="F27" i="3" s="1"/>
  <c r="F28" i="3" s="1"/>
  <c r="F31" i="3" s="1"/>
  <c r="E19" i="3"/>
  <c r="F14" i="3"/>
  <c r="F17" i="3" s="1"/>
  <c r="F18" i="3" s="1"/>
  <c r="F21" i="3" s="1"/>
  <c r="D17" i="5"/>
  <c r="D24" i="5" s="1"/>
  <c r="C17" i="5"/>
  <c r="C24" i="5" s="1"/>
  <c r="C16" i="5"/>
  <c r="C23" i="5" s="1"/>
  <c r="D16" i="5"/>
  <c r="D23" i="5" s="1"/>
  <c r="E19" i="5"/>
  <c r="E11" i="5"/>
  <c r="E13" i="5"/>
  <c r="E8" i="5"/>
  <c r="E9" i="5"/>
  <c r="D5" i="5"/>
  <c r="E8" i="6"/>
  <c r="E9" i="6" s="1"/>
  <c r="E11" i="6" s="1"/>
  <c r="E3" i="5"/>
  <c r="F2" i="5"/>
  <c r="F5" i="6"/>
  <c r="F7" i="6" s="1"/>
  <c r="G2" i="6"/>
  <c r="D35" i="5" l="1"/>
  <c r="F51" i="3"/>
  <c r="G5" i="2"/>
  <c r="F23" i="1"/>
  <c r="E8" i="3"/>
  <c r="E21" i="2"/>
  <c r="G4" i="3"/>
  <c r="G7" i="3" s="1"/>
  <c r="G54" i="3"/>
  <c r="G57" i="3" s="1"/>
  <c r="G58" i="3" s="1"/>
  <c r="G61" i="3" s="1"/>
  <c r="F59" i="3"/>
  <c r="G44" i="3"/>
  <c r="G47" i="3" s="1"/>
  <c r="G48" i="3" s="1"/>
  <c r="F49" i="3"/>
  <c r="G34" i="3"/>
  <c r="G37" i="3" s="1"/>
  <c r="G38" i="3" s="1"/>
  <c r="G41" i="3" s="1"/>
  <c r="F39" i="3"/>
  <c r="G24" i="3"/>
  <c r="G27" i="3" s="1"/>
  <c r="G28" i="3" s="1"/>
  <c r="G31" i="3" s="1"/>
  <c r="F29" i="3"/>
  <c r="G14" i="3"/>
  <c r="G17" i="3" s="1"/>
  <c r="G18" i="3" s="1"/>
  <c r="G21" i="3" s="1"/>
  <c r="F19" i="3"/>
  <c r="D34" i="5"/>
  <c r="C26" i="5"/>
  <c r="C37" i="5" s="1"/>
  <c r="C34" i="5"/>
  <c r="C27" i="5"/>
  <c r="C38" i="5" s="1"/>
  <c r="C30" i="5"/>
  <c r="C35" i="5"/>
  <c r="F9" i="5"/>
  <c r="F17" i="5" s="1"/>
  <c r="F8" i="5"/>
  <c r="F16" i="5" s="1"/>
  <c r="D27" i="5"/>
  <c r="D26" i="5"/>
  <c r="D38" i="5" s="1"/>
  <c r="E5" i="5"/>
  <c r="E16" i="5"/>
  <c r="E23" i="5" s="1"/>
  <c r="E34" i="5" s="1"/>
  <c r="F11" i="5"/>
  <c r="F13" i="5"/>
  <c r="F19" i="5"/>
  <c r="E17" i="5"/>
  <c r="E24" i="5" s="1"/>
  <c r="H2" i="6"/>
  <c r="H5" i="6" s="1"/>
  <c r="H7" i="6" s="1"/>
  <c r="G5" i="6"/>
  <c r="G7" i="6" s="1"/>
  <c r="F8" i="6"/>
  <c r="F9" i="6" s="1"/>
  <c r="F11" i="6" s="1"/>
  <c r="G2" i="5"/>
  <c r="F3" i="5"/>
  <c r="D36" i="5" l="1"/>
  <c r="D4" i="4" s="1"/>
  <c r="G21" i="2"/>
  <c r="F8" i="3"/>
  <c r="E11" i="3"/>
  <c r="E22" i="2"/>
  <c r="E23" i="2" s="1"/>
  <c r="E9" i="3"/>
  <c r="D22" i="2" s="1"/>
  <c r="E35" i="5"/>
  <c r="E36" i="5" s="1"/>
  <c r="H5" i="2"/>
  <c r="H23" i="1" s="1"/>
  <c r="G23" i="1"/>
  <c r="G51" i="3"/>
  <c r="C29" i="5"/>
  <c r="C40" i="5" s="1"/>
  <c r="H4" i="3"/>
  <c r="H7" i="3" s="1"/>
  <c r="H54" i="3"/>
  <c r="H57" i="3" s="1"/>
  <c r="G59" i="3"/>
  <c r="H44" i="3"/>
  <c r="H47" i="3" s="1"/>
  <c r="H48" i="3" s="1"/>
  <c r="H51" i="3" s="1"/>
  <c r="G49" i="3"/>
  <c r="H34" i="3"/>
  <c r="H37" i="3" s="1"/>
  <c r="G39" i="3"/>
  <c r="H24" i="3"/>
  <c r="H27" i="3" s="1"/>
  <c r="G29" i="3"/>
  <c r="H14" i="3"/>
  <c r="H17" i="3" s="1"/>
  <c r="G19" i="3"/>
  <c r="D29" i="5"/>
  <c r="D30" i="5"/>
  <c r="D39" i="5"/>
  <c r="D40" i="5" s="1"/>
  <c r="D5" i="4" s="1"/>
  <c r="D10" i="4" s="1"/>
  <c r="F5" i="5"/>
  <c r="G9" i="5"/>
  <c r="G17" i="5" s="1"/>
  <c r="G19" i="5"/>
  <c r="E26" i="5"/>
  <c r="E27" i="5"/>
  <c r="G13" i="5"/>
  <c r="G11" i="5"/>
  <c r="F23" i="5"/>
  <c r="F34" i="5" s="1"/>
  <c r="F24" i="5"/>
  <c r="G8" i="5"/>
  <c r="H8" i="6"/>
  <c r="H9" i="6" s="1"/>
  <c r="H11" i="6" s="1"/>
  <c r="H2" i="5"/>
  <c r="G3" i="5"/>
  <c r="G5" i="5" s="1"/>
  <c r="G8" i="6"/>
  <c r="G9" i="6" s="1"/>
  <c r="G11" i="6" s="1"/>
  <c r="F35" i="5" l="1"/>
  <c r="H18" i="3"/>
  <c r="H21" i="3" s="1"/>
  <c r="H58" i="3"/>
  <c r="H61" i="3" s="1"/>
  <c r="H28" i="3"/>
  <c r="H31" i="3" s="1"/>
  <c r="H21" i="2"/>
  <c r="D21" i="2"/>
  <c r="D23" i="2" s="1"/>
  <c r="H38" i="3"/>
  <c r="H41" i="3" s="1"/>
  <c r="D6" i="4"/>
  <c r="D9" i="4" s="1"/>
  <c r="H49" i="3"/>
  <c r="G8" i="3"/>
  <c r="F22" i="2"/>
  <c r="F23" i="2" s="1"/>
  <c r="F11" i="3"/>
  <c r="F9" i="3"/>
  <c r="D42" i="5"/>
  <c r="E30" i="5"/>
  <c r="E39" i="5"/>
  <c r="E29" i="5"/>
  <c r="E38" i="5"/>
  <c r="F36" i="5"/>
  <c r="C13" i="6"/>
  <c r="C5" i="8" s="1"/>
  <c r="E4" i="4"/>
  <c r="H9" i="5"/>
  <c r="H17" i="5" s="1"/>
  <c r="H19" i="5"/>
  <c r="G24" i="5"/>
  <c r="F27" i="5"/>
  <c r="F26" i="5"/>
  <c r="H8" i="5"/>
  <c r="H16" i="5" s="1"/>
  <c r="G16" i="5"/>
  <c r="G23" i="5" s="1"/>
  <c r="G34" i="5" s="1"/>
  <c r="H3" i="5"/>
  <c r="H13" i="5"/>
  <c r="H11" i="5"/>
  <c r="D16" i="4" l="1"/>
  <c r="H59" i="3"/>
  <c r="H19" i="3"/>
  <c r="D17" i="4"/>
  <c r="H8" i="3"/>
  <c r="G22" i="2"/>
  <c r="G23" i="2" s="1"/>
  <c r="G11" i="3"/>
  <c r="G9" i="3"/>
  <c r="H29" i="3"/>
  <c r="E40" i="5"/>
  <c r="E5" i="4" s="1"/>
  <c r="E10" i="4" s="1"/>
  <c r="H39" i="3"/>
  <c r="D11" i="4"/>
  <c r="D12" i="4" s="1"/>
  <c r="D13" i="4" s="1"/>
  <c r="D26" i="2"/>
  <c r="D8" i="1" s="1"/>
  <c r="F30" i="5"/>
  <c r="F39" i="5"/>
  <c r="G27" i="5"/>
  <c r="G35" i="5"/>
  <c r="G36" i="5" s="1"/>
  <c r="E42" i="5"/>
  <c r="E43" i="5" s="1"/>
  <c r="F29" i="5"/>
  <c r="F38" i="5"/>
  <c r="F4" i="4"/>
  <c r="H24" i="5"/>
  <c r="H23" i="5"/>
  <c r="G26" i="5"/>
  <c r="H5" i="5"/>
  <c r="D26" i="4" l="1"/>
  <c r="D28" i="4" s="1"/>
  <c r="D39" i="4" s="1"/>
  <c r="D4" i="9" s="1"/>
  <c r="E6" i="4"/>
  <c r="E9" i="4" s="1"/>
  <c r="E11" i="4" s="1"/>
  <c r="E12" i="4" s="1"/>
  <c r="E13" i="4" s="1"/>
  <c r="H22" i="2"/>
  <c r="H23" i="2" s="1"/>
  <c r="H11" i="3"/>
  <c r="H9" i="3"/>
  <c r="G4" i="4"/>
  <c r="F40" i="5"/>
  <c r="H27" i="5"/>
  <c r="H35" i="5"/>
  <c r="G29" i="5"/>
  <c r="G38" i="5"/>
  <c r="H26" i="5"/>
  <c r="H34" i="5"/>
  <c r="G30" i="5"/>
  <c r="G39" i="5"/>
  <c r="E16" i="4" l="1"/>
  <c r="H36" i="5"/>
  <c r="H4" i="4" s="1"/>
  <c r="D14" i="2"/>
  <c r="D9" i="1" s="1"/>
  <c r="D8" i="9" s="1"/>
  <c r="G40" i="5"/>
  <c r="G5" i="4" s="1"/>
  <c r="G10" i="4" s="1"/>
  <c r="E17" i="4"/>
  <c r="E26" i="2"/>
  <c r="E8" i="1" s="1"/>
  <c r="D42" i="4"/>
  <c r="D43" i="4" s="1"/>
  <c r="D45" i="4" s="1"/>
  <c r="D29" i="4"/>
  <c r="D5" i="9"/>
  <c r="D6" i="9" s="1"/>
  <c r="H29" i="5"/>
  <c r="H38" i="5"/>
  <c r="H30" i="5"/>
  <c r="H39" i="5"/>
  <c r="F5" i="4"/>
  <c r="F42" i="5"/>
  <c r="F43" i="5" s="1"/>
  <c r="E26" i="4" l="1"/>
  <c r="D15" i="2"/>
  <c r="G42" i="5"/>
  <c r="G43" i="5" s="1"/>
  <c r="G6" i="4"/>
  <c r="G9" i="4" s="1"/>
  <c r="G11" i="4" s="1"/>
  <c r="G12" i="4" s="1"/>
  <c r="G13" i="4" s="1"/>
  <c r="D10" i="9"/>
  <c r="D12" i="9" s="1"/>
  <c r="E28" i="4"/>
  <c r="E29" i="4" s="1"/>
  <c r="E14" i="2"/>
  <c r="D46" i="4"/>
  <c r="D6" i="2"/>
  <c r="D7" i="2" s="1"/>
  <c r="D4" i="1"/>
  <c r="D7" i="1" s="1"/>
  <c r="F6" i="4"/>
  <c r="F10" i="4"/>
  <c r="H40" i="5"/>
  <c r="D10" i="1" l="1"/>
  <c r="D25" i="1" s="1"/>
  <c r="D27" i="1" s="1"/>
  <c r="D16" i="2"/>
  <c r="G26" i="2"/>
  <c r="G16" i="4"/>
  <c r="G17" i="4"/>
  <c r="E39" i="4"/>
  <c r="E4" i="9" s="1"/>
  <c r="E5" i="9" s="1"/>
  <c r="E6" i="9" s="1"/>
  <c r="E9" i="1"/>
  <c r="E15" i="2"/>
  <c r="F16" i="4"/>
  <c r="F9" i="4"/>
  <c r="F17" i="4"/>
  <c r="H5" i="4"/>
  <c r="H42" i="5"/>
  <c r="H43" i="5" s="1"/>
  <c r="E26" i="1" l="1"/>
  <c r="D27" i="2"/>
  <c r="D28" i="2" s="1"/>
  <c r="D29" i="2" s="1"/>
  <c r="E8" i="9"/>
  <c r="E10" i="9" s="1"/>
  <c r="E12" i="9" s="1"/>
  <c r="G26" i="4"/>
  <c r="G28" i="4" s="1"/>
  <c r="G39" i="4" s="1"/>
  <c r="E42" i="4"/>
  <c r="E43" i="4" s="1"/>
  <c r="E45" i="4" s="1"/>
  <c r="E46" i="4" s="1"/>
  <c r="F11" i="4"/>
  <c r="F12" i="4" s="1"/>
  <c r="F13" i="4" s="1"/>
  <c r="F26" i="2"/>
  <c r="F8" i="1" s="1"/>
  <c r="F26" i="4"/>
  <c r="H6" i="4"/>
  <c r="H10" i="4"/>
  <c r="G8" i="1" l="1"/>
  <c r="G14" i="2"/>
  <c r="G15" i="2" s="1"/>
  <c r="E4" i="1"/>
  <c r="E7" i="1" s="1"/>
  <c r="E6" i="2"/>
  <c r="E7" i="2" s="1"/>
  <c r="E16" i="2" s="1"/>
  <c r="G29" i="4"/>
  <c r="G4" i="9"/>
  <c r="G5" i="9" s="1"/>
  <c r="G6" i="9" s="1"/>
  <c r="G42" i="4"/>
  <c r="G43" i="4" s="1"/>
  <c r="G45" i="4" s="1"/>
  <c r="F28" i="4"/>
  <c r="F39" i="4" s="1"/>
  <c r="F4" i="9" s="1"/>
  <c r="F5" i="9" s="1"/>
  <c r="F6" i="9" s="1"/>
  <c r="F14" i="2"/>
  <c r="H16" i="4"/>
  <c r="H17" i="4"/>
  <c r="H9" i="4"/>
  <c r="E10" i="1" l="1"/>
  <c r="E25" i="1" s="1"/>
  <c r="E27" i="1" s="1"/>
  <c r="G9" i="1"/>
  <c r="H11" i="4"/>
  <c r="H12" i="4" s="1"/>
  <c r="H13" i="4" s="1"/>
  <c r="H26" i="2"/>
  <c r="H8" i="1" s="1"/>
  <c r="F42" i="4"/>
  <c r="F43" i="4" s="1"/>
  <c r="F45" i="4" s="1"/>
  <c r="F29" i="4"/>
  <c r="G46" i="4"/>
  <c r="G4" i="1"/>
  <c r="G7" i="1" s="1"/>
  <c r="F9" i="1"/>
  <c r="F15" i="2"/>
  <c r="H26" i="4"/>
  <c r="F26" i="1" l="1"/>
  <c r="E27" i="2"/>
  <c r="E28" i="2" s="1"/>
  <c r="E29" i="2" s="1"/>
  <c r="F8" i="9"/>
  <c r="F10" i="9" s="1"/>
  <c r="F12" i="9" s="1"/>
  <c r="G8" i="9"/>
  <c r="G10" i="9" s="1"/>
  <c r="G12" i="9" s="1"/>
  <c r="G10" i="1"/>
  <c r="G25" i="1" s="1"/>
  <c r="F46" i="4"/>
  <c r="F4" i="1"/>
  <c r="F7" i="1" s="1"/>
  <c r="F6" i="2"/>
  <c r="H28" i="4"/>
  <c r="H39" i="4" s="1"/>
  <c r="H14" i="2"/>
  <c r="H29" i="4" l="1"/>
  <c r="F10" i="1"/>
  <c r="F25" i="1" s="1"/>
  <c r="F27" i="1" s="1"/>
  <c r="H42" i="4"/>
  <c r="H43" i="4" s="1"/>
  <c r="H45" i="4" s="1"/>
  <c r="H4" i="9"/>
  <c r="H5" i="9" s="1"/>
  <c r="H6" i="9" s="1"/>
  <c r="H9" i="1"/>
  <c r="H8" i="9" s="1"/>
  <c r="H15" i="2"/>
  <c r="G6" i="2"/>
  <c r="F7" i="2"/>
  <c r="F16" i="2" s="1"/>
  <c r="F27" i="2" l="1"/>
  <c r="F28" i="2" s="1"/>
  <c r="F29" i="2" s="1"/>
  <c r="G26" i="1"/>
  <c r="G27" i="1" s="1"/>
  <c r="G27" i="2" s="1"/>
  <c r="G28" i="2" s="1"/>
  <c r="H10" i="9"/>
  <c r="H11" i="9" s="1"/>
  <c r="H12" i="9" s="1"/>
  <c r="C14" i="9" s="1"/>
  <c r="C4" i="8" s="1"/>
  <c r="C7" i="8" s="1"/>
  <c r="H6" i="2"/>
  <c r="H7" i="2" s="1"/>
  <c r="H16" i="2" s="1"/>
  <c r="G7" i="2"/>
  <c r="G16" i="2" s="1"/>
  <c r="H46" i="4"/>
  <c r="H4" i="1"/>
  <c r="H7" i="1" s="1"/>
  <c r="H26" i="1"/>
  <c r="H10" i="1" l="1"/>
  <c r="H25" i="1" s="1"/>
  <c r="H27" i="1" s="1"/>
  <c r="H27" i="2" s="1"/>
  <c r="H28" i="2" s="1"/>
  <c r="H29" i="2" s="1"/>
  <c r="G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PRADHIP</author>
  </authors>
  <commentList>
    <comment ref="A4" authorId="0" shapeId="0" xr:uid="{05C186A1-CD4A-4FE0-9AC6-FA78564B84E1}">
      <text>
        <r>
          <rPr>
            <b/>
            <sz val="9"/>
            <color indexed="81"/>
            <rFont val="Tahoma"/>
            <family val="2"/>
          </rPr>
          <t>PRADHIP:</t>
        </r>
        <r>
          <rPr>
            <sz val="9"/>
            <color indexed="81"/>
            <rFont val="Tahoma"/>
            <family val="2"/>
          </rPr>
          <t xml:space="preserve">
Opearting profit before tax of firm
</t>
        </r>
      </text>
    </comment>
    <comment ref="A6" authorId="0" shapeId="0" xr:uid="{FB98979B-A297-455B-8C61-427B349F8EBC}">
      <text>
        <r>
          <rPr>
            <b/>
            <sz val="9"/>
            <color indexed="81"/>
            <rFont val="Tahoma"/>
            <family val="2"/>
          </rPr>
          <t>PRADHIP:</t>
        </r>
        <r>
          <rPr>
            <sz val="9"/>
            <color indexed="81"/>
            <rFont val="Tahoma"/>
            <family val="2"/>
          </rPr>
          <t xml:space="preserve">
Profit of the firm after tax
</t>
        </r>
      </text>
    </comment>
  </commentList>
</comments>
</file>

<file path=xl/sharedStrings.xml><?xml version="1.0" encoding="utf-8"?>
<sst xmlns="http://schemas.openxmlformats.org/spreadsheetml/2006/main" count="333" uniqueCount="184">
  <si>
    <t>Particulars</t>
  </si>
  <si>
    <t>Year</t>
  </si>
  <si>
    <t>Lease Property</t>
  </si>
  <si>
    <t>Sq.Ft.</t>
  </si>
  <si>
    <t>Income Tax</t>
  </si>
  <si>
    <t>FD rate</t>
  </si>
  <si>
    <t>Capital Appreciation of Property</t>
  </si>
  <si>
    <t>Rental yield</t>
  </si>
  <si>
    <t>Increase in Rental yield</t>
  </si>
  <si>
    <t>Building</t>
  </si>
  <si>
    <t>Land size</t>
  </si>
  <si>
    <t>Property Value</t>
  </si>
  <si>
    <t>No. of days in a year</t>
  </si>
  <si>
    <t>Start date</t>
  </si>
  <si>
    <t>Option - 1</t>
  </si>
  <si>
    <t>Option - 2</t>
  </si>
  <si>
    <t>Mc Donald's Franchise</t>
  </si>
  <si>
    <t>Franchise cost</t>
  </si>
  <si>
    <t>Furniture</t>
  </si>
  <si>
    <t>Development Cost</t>
  </si>
  <si>
    <t>Interiors cost</t>
  </si>
  <si>
    <t>Civil work</t>
  </si>
  <si>
    <t>Machinery</t>
  </si>
  <si>
    <t>Total</t>
  </si>
  <si>
    <t>Depriciation rate</t>
  </si>
  <si>
    <t>Development cost</t>
  </si>
  <si>
    <t>Rental Income</t>
  </si>
  <si>
    <t>Rent Deposit(Non Refundable)</t>
  </si>
  <si>
    <t>Interest Income</t>
  </si>
  <si>
    <t>Non Refundable deposit</t>
  </si>
  <si>
    <t>Total Income before tax</t>
  </si>
  <si>
    <t>Less: Income tax</t>
  </si>
  <si>
    <t>Total Income After tax</t>
  </si>
  <si>
    <t>Terminal Value</t>
  </si>
  <si>
    <t>FCFE</t>
  </si>
  <si>
    <t>Opportunity Cost (Purchase of land)</t>
  </si>
  <si>
    <t>IRR</t>
  </si>
  <si>
    <t>Total No. Of operation days</t>
  </si>
  <si>
    <t>Weekdays</t>
  </si>
  <si>
    <t>Weekends</t>
  </si>
  <si>
    <t>Occupancy</t>
  </si>
  <si>
    <t>Weekday</t>
  </si>
  <si>
    <t>Total capacity</t>
  </si>
  <si>
    <t>Total No. of rounds</t>
  </si>
  <si>
    <t>APC</t>
  </si>
  <si>
    <t>Revenue per day</t>
  </si>
  <si>
    <t>Outlet</t>
  </si>
  <si>
    <t>Online</t>
  </si>
  <si>
    <t>Total revenue per day</t>
  </si>
  <si>
    <t>Annual Revenue</t>
  </si>
  <si>
    <t>Total No. of customers per day</t>
  </si>
  <si>
    <t>Kitchen are</t>
  </si>
  <si>
    <t>Store room</t>
  </si>
  <si>
    <t>Washroom</t>
  </si>
  <si>
    <t>Reception area</t>
  </si>
  <si>
    <t>Serving are</t>
  </si>
  <si>
    <t>Total Area</t>
  </si>
  <si>
    <t>Average table size</t>
  </si>
  <si>
    <t>Area per table</t>
  </si>
  <si>
    <t>Total no. of tables</t>
  </si>
  <si>
    <t>Operation time in a day</t>
  </si>
  <si>
    <t>Total no. of rounds</t>
  </si>
  <si>
    <t>Annual growth</t>
  </si>
  <si>
    <t>Turnaround times</t>
  </si>
  <si>
    <t>Maximum Occupancy</t>
  </si>
  <si>
    <t>Online Sales</t>
  </si>
  <si>
    <t>as % of total sales</t>
  </si>
  <si>
    <t>rounds</t>
  </si>
  <si>
    <t>hour</t>
  </si>
  <si>
    <t>hours</t>
  </si>
  <si>
    <t xml:space="preserve"> people</t>
  </si>
  <si>
    <t>tables</t>
  </si>
  <si>
    <t>Total Outlet Sales</t>
  </si>
  <si>
    <t>Total Online Sales</t>
  </si>
  <si>
    <t>Total Sales</t>
  </si>
  <si>
    <t>Sales growth rate%</t>
  </si>
  <si>
    <t>Sales</t>
  </si>
  <si>
    <t>Less : Direct Cost</t>
  </si>
  <si>
    <t>COGS</t>
  </si>
  <si>
    <t>Commission to food aggregator</t>
  </si>
  <si>
    <t>Total Direct Cost</t>
  </si>
  <si>
    <t>Gross Profit</t>
  </si>
  <si>
    <t>Gross Margin%</t>
  </si>
  <si>
    <t>Other Cost</t>
  </si>
  <si>
    <t>Salary (Annual)</t>
  </si>
  <si>
    <t>Cleaner</t>
  </si>
  <si>
    <t>Support staff</t>
  </si>
  <si>
    <t>Accountant</t>
  </si>
  <si>
    <t>Manager</t>
  </si>
  <si>
    <t>Salary growth</t>
  </si>
  <si>
    <t>No. of employee per shift</t>
  </si>
  <si>
    <t>No. of shifts</t>
  </si>
  <si>
    <t>shifts</t>
  </si>
  <si>
    <t>Year 1</t>
  </si>
  <si>
    <t>Year 2</t>
  </si>
  <si>
    <t>Year 3</t>
  </si>
  <si>
    <t>Year 4</t>
  </si>
  <si>
    <t>Year 5</t>
  </si>
  <si>
    <t>Cost as % of Revenue</t>
  </si>
  <si>
    <t>Royalty</t>
  </si>
  <si>
    <t>Advertisement</t>
  </si>
  <si>
    <t>Food Aggregator commission</t>
  </si>
  <si>
    <t>only payable on online sales</t>
  </si>
  <si>
    <t>Advertisement cost</t>
  </si>
  <si>
    <t>Less : Indirect cost</t>
  </si>
  <si>
    <t>Maintenance</t>
  </si>
  <si>
    <t>Electricity and water</t>
  </si>
  <si>
    <t>Misc. Expenses</t>
  </si>
  <si>
    <t>Growth Rate</t>
  </si>
  <si>
    <t>Salary</t>
  </si>
  <si>
    <t>Total Indirect expense</t>
  </si>
  <si>
    <t>EBITDA</t>
  </si>
  <si>
    <t>EBITDA Margin %</t>
  </si>
  <si>
    <t>Depriciation</t>
  </si>
  <si>
    <t>EBIT</t>
  </si>
  <si>
    <t>Less: Interest</t>
  </si>
  <si>
    <t>PBT</t>
  </si>
  <si>
    <t>Less: Income Tax</t>
  </si>
  <si>
    <t>Indirect Expenses</t>
  </si>
  <si>
    <t>Stock Days</t>
  </si>
  <si>
    <t>Minimum cash</t>
  </si>
  <si>
    <t>Cost of equity</t>
  </si>
  <si>
    <t>Long term growth rate</t>
  </si>
  <si>
    <t>days</t>
  </si>
  <si>
    <t>PAT</t>
  </si>
  <si>
    <t>Net profit Margin %</t>
  </si>
  <si>
    <t xml:space="preserve">Franchise </t>
  </si>
  <si>
    <t>Opening Balance</t>
  </si>
  <si>
    <t>Add : Purchases</t>
  </si>
  <si>
    <t>Less : Sales</t>
  </si>
  <si>
    <t>Gross Block</t>
  </si>
  <si>
    <t>Less : Accumulated Depriciation</t>
  </si>
  <si>
    <t>Net Block</t>
  </si>
  <si>
    <t>Depriciation on Franchise</t>
  </si>
  <si>
    <t>Depriciation on Furniture</t>
  </si>
  <si>
    <t xml:space="preserve">Development </t>
  </si>
  <si>
    <t>Depriciation on Development</t>
  </si>
  <si>
    <t>Depriciation on Machinery</t>
  </si>
  <si>
    <t>Depriciation on civil work</t>
  </si>
  <si>
    <t>civil work</t>
  </si>
  <si>
    <t>Depriciation on Interior</t>
  </si>
  <si>
    <t>Interior</t>
  </si>
  <si>
    <t>Equity and Liabilities</t>
  </si>
  <si>
    <t>Equity</t>
  </si>
  <si>
    <t>Equity share capital</t>
  </si>
  <si>
    <t>Liabilities</t>
  </si>
  <si>
    <t>Reserves and surplus</t>
  </si>
  <si>
    <t>Total Equity</t>
  </si>
  <si>
    <t>Debt</t>
  </si>
  <si>
    <t>Non-current Liabilty</t>
  </si>
  <si>
    <t>Current Liability</t>
  </si>
  <si>
    <t>Outstanding expenses</t>
  </si>
  <si>
    <t>Total of Liabilities</t>
  </si>
  <si>
    <t>Assets</t>
  </si>
  <si>
    <t>Fixed assets</t>
  </si>
  <si>
    <t>Current Assets</t>
  </si>
  <si>
    <t>Stock</t>
  </si>
  <si>
    <t>Cash and Bank</t>
  </si>
  <si>
    <t>Check</t>
  </si>
  <si>
    <t>Operating activity</t>
  </si>
  <si>
    <t>Financing activity</t>
  </si>
  <si>
    <t>Investing activity</t>
  </si>
  <si>
    <t>Total cash genearted during year</t>
  </si>
  <si>
    <t>Add: Opening balance of cash</t>
  </si>
  <si>
    <t>Closing balance</t>
  </si>
  <si>
    <t>Add: Non cash items</t>
  </si>
  <si>
    <t>Add:Decrease in Current Asset/Increase in current Liability</t>
  </si>
  <si>
    <t>Less:Increase in Current Asset/Decrease in current Liability</t>
  </si>
  <si>
    <t>Purchase of assets</t>
  </si>
  <si>
    <t>Less: Taxes</t>
  </si>
  <si>
    <t>NOPAT</t>
  </si>
  <si>
    <t>Add: Depriciation</t>
  </si>
  <si>
    <t>Add/Less: Changes in working cpaital</t>
  </si>
  <si>
    <t>Less: CAPEX</t>
  </si>
  <si>
    <t>FCFF/FCFE</t>
  </si>
  <si>
    <t>Opportunity cost(Purchase of land)</t>
  </si>
  <si>
    <t>Rental IRR</t>
  </si>
  <si>
    <t>Decision</t>
  </si>
  <si>
    <t>Mc Donald's IRR</t>
  </si>
  <si>
    <t>Non-current Assets</t>
  </si>
  <si>
    <t>Total Cashflow from Investing</t>
  </si>
  <si>
    <t>Total Cashflow from Operation</t>
  </si>
  <si>
    <t>CFO before working capital changes</t>
  </si>
  <si>
    <t>End of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</si>
</sst>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Year&quot;\ 0"/>
    <numFmt numFmtId="173" formatCode="_ [$₹-4009]\ * #,##0.00_ ;_ [$₹-4009]\ * \-#,##0.00_ ;_ [$₹-4009]\ * &quot;-&quot;??_ ;_ @_ "/>
    <numFmt numFmtId="176" formatCode="_(* #,##0_);_(* \(#,##0\);_(* &quot;-&quot;??_);_(@_)"/>
    <numFmt numFmtId="178" formatCode="_ [$₹-4009]\ * #,##0_ ;_ [$₹-4009]\ * \-#,##0_ ;_ [$₹-4009]\ * &quot;-&quot;??_ ;_ @_ "/>
    <numFmt numFmtId="179" formatCode="0.0%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indexed="8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4" fillId="2" borderId="0" xfId="0" applyFont="1" applyFill="1"/>
    <xf numFmtId="164" fontId="4" fillId="2" borderId="0" xfId="0" applyNumberFormat="1" applyFont="1" applyFill="1"/>
    <xf numFmtId="173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NumberFormat="1" applyBorder="1"/>
    <xf numFmtId="15" fontId="4" fillId="2" borderId="0" xfId="0" applyNumberFormat="1" applyFont="1" applyFill="1"/>
    <xf numFmtId="176" fontId="0" fillId="0" borderId="0" xfId="1" applyNumberFormat="1" applyFont="1"/>
    <xf numFmtId="0" fontId="0" fillId="2" borderId="0" xfId="0" applyFill="1"/>
    <xf numFmtId="176" fontId="2" fillId="0" borderId="0" xfId="1" applyNumberFormat="1" applyFont="1"/>
    <xf numFmtId="178" fontId="0" fillId="0" borderId="0" xfId="0" applyNumberFormat="1"/>
    <xf numFmtId="0" fontId="0" fillId="0" borderId="0" xfId="0" applyFont="1"/>
    <xf numFmtId="0" fontId="2" fillId="3" borderId="0" xfId="0" applyFont="1" applyFill="1"/>
    <xf numFmtId="0" fontId="0" fillId="3" borderId="0" xfId="0" applyFill="1"/>
    <xf numFmtId="179" fontId="0" fillId="3" borderId="0" xfId="1" applyNumberFormat="1" applyFont="1" applyFill="1"/>
    <xf numFmtId="0" fontId="0" fillId="4" borderId="0" xfId="0" applyFill="1"/>
    <xf numFmtId="15" fontId="0" fillId="0" borderId="0" xfId="0" applyNumberFormat="1"/>
    <xf numFmtId="15" fontId="0" fillId="0" borderId="0" xfId="0" applyNumberFormat="1" applyFill="1"/>
    <xf numFmtId="0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right"/>
    </xf>
    <xf numFmtId="0" fontId="2" fillId="0" borderId="2" xfId="0" applyFont="1" applyBorder="1"/>
    <xf numFmtId="9" fontId="0" fillId="0" borderId="0" xfId="2" applyFont="1"/>
    <xf numFmtId="0" fontId="0" fillId="0" borderId="2" xfId="0" applyBorder="1"/>
    <xf numFmtId="176" fontId="0" fillId="0" borderId="2" xfId="1" applyNumberFormat="1" applyFont="1" applyBorder="1"/>
    <xf numFmtId="0" fontId="0" fillId="0" borderId="3" xfId="0" applyBorder="1"/>
    <xf numFmtId="176" fontId="0" fillId="0" borderId="3" xfId="1" applyNumberFormat="1" applyFont="1" applyBorder="1"/>
    <xf numFmtId="176" fontId="2" fillId="0" borderId="2" xfId="1" applyNumberFormat="1" applyFont="1" applyBorder="1"/>
    <xf numFmtId="0" fontId="2" fillId="0" borderId="3" xfId="0" applyFont="1" applyBorder="1"/>
    <xf numFmtId="176" fontId="2" fillId="0" borderId="3" xfId="1" applyNumberFormat="1" applyFont="1" applyBorder="1"/>
    <xf numFmtId="0" fontId="2" fillId="0" borderId="4" xfId="0" applyFont="1" applyBorder="1"/>
    <xf numFmtId="0" fontId="0" fillId="0" borderId="4" xfId="0" applyBorder="1"/>
    <xf numFmtId="176" fontId="0" fillId="0" borderId="4" xfId="1" applyNumberFormat="1" applyFont="1" applyBorder="1"/>
    <xf numFmtId="176" fontId="2" fillId="0" borderId="4" xfId="1" applyNumberFormat="1" applyFont="1" applyBorder="1"/>
    <xf numFmtId="0" fontId="5" fillId="0" borderId="0" xfId="0" applyFont="1"/>
    <xf numFmtId="0" fontId="6" fillId="0" borderId="0" xfId="0" applyFont="1"/>
    <xf numFmtId="176" fontId="5" fillId="0" borderId="0" xfId="1" applyNumberFormat="1" applyFont="1"/>
    <xf numFmtId="9" fontId="5" fillId="0" borderId="0" xfId="2" applyFont="1"/>
    <xf numFmtId="0" fontId="0" fillId="5" borderId="0" xfId="0" applyFill="1"/>
    <xf numFmtId="0" fontId="2" fillId="0" borderId="5" xfId="0" applyFont="1" applyBorder="1"/>
    <xf numFmtId="0" fontId="0" fillId="0" borderId="5" xfId="0" applyBorder="1"/>
    <xf numFmtId="0" fontId="6" fillId="6" borderId="0" xfId="0" applyFont="1" applyFill="1"/>
    <xf numFmtId="176" fontId="6" fillId="6" borderId="0" xfId="1" applyNumberFormat="1" applyFont="1" applyFill="1"/>
    <xf numFmtId="10" fontId="6" fillId="6" borderId="0" xfId="1" applyNumberFormat="1" applyFont="1" applyFill="1"/>
    <xf numFmtId="176" fontId="0" fillId="0" borderId="5" xfId="1" applyNumberFormat="1" applyFont="1" applyBorder="1"/>
    <xf numFmtId="176" fontId="2" fillId="0" borderId="5" xfId="1" applyNumberFormat="1" applyFont="1" applyBorder="1"/>
    <xf numFmtId="0" fontId="0" fillId="0" borderId="0" xfId="0" applyAlignment="1">
      <alignment horizontal="left" indent="1"/>
    </xf>
    <xf numFmtId="179" fontId="5" fillId="0" borderId="0" xfId="2" applyNumberFormat="1" applyFont="1"/>
    <xf numFmtId="176" fontId="0" fillId="0" borderId="0" xfId="1" applyNumberFormat="1" applyFont="1" applyFill="1"/>
    <xf numFmtId="1" fontId="0" fillId="0" borderId="0" xfId="0" applyNumberFormat="1"/>
    <xf numFmtId="0" fontId="6" fillId="4" borderId="0" xfId="0" applyFont="1" applyFill="1"/>
    <xf numFmtId="0" fontId="5" fillId="4" borderId="0" xfId="0" applyFont="1" applyFill="1"/>
    <xf numFmtId="176" fontId="5" fillId="4" borderId="0" xfId="1" applyNumberFormat="1" applyFont="1" applyFill="1"/>
    <xf numFmtId="179" fontId="5" fillId="4" borderId="0" xfId="2" applyNumberFormat="1" applyFont="1" applyFill="1"/>
    <xf numFmtId="0" fontId="2" fillId="0" borderId="0" xfId="0" applyFont="1" applyFill="1" applyBorder="1"/>
    <xf numFmtId="0" fontId="0" fillId="0" borderId="0" xfId="0" applyFont="1" applyFill="1" applyBorder="1"/>
    <xf numFmtId="178" fontId="0" fillId="0" borderId="1" xfId="0" applyNumberFormat="1" applyBorder="1"/>
    <xf numFmtId="2" fontId="2" fillId="0" borderId="3" xfId="0" applyNumberFormat="1" applyFont="1" applyBorder="1"/>
    <xf numFmtId="2" fontId="0" fillId="0" borderId="3" xfId="0" applyNumberFormat="1" applyBorder="1"/>
    <xf numFmtId="2" fontId="0" fillId="0" borderId="3" xfId="1" applyNumberFormat="1" applyFont="1" applyBorder="1"/>
    <xf numFmtId="0" fontId="7" fillId="7" borderId="0" xfId="0" applyFont="1" applyFill="1"/>
    <xf numFmtId="176" fontId="7" fillId="7" borderId="0" xfId="1" applyNumberFormat="1" applyFont="1" applyFill="1"/>
    <xf numFmtId="0" fontId="4" fillId="0" borderId="0" xfId="0" applyFont="1" applyFill="1"/>
    <xf numFmtId="15" fontId="4" fillId="0" borderId="0" xfId="0" applyNumberFormat="1" applyFont="1" applyFill="1"/>
    <xf numFmtId="0" fontId="10" fillId="0" borderId="0" xfId="0" applyFont="1" applyFill="1"/>
    <xf numFmtId="0" fontId="2" fillId="0" borderId="0" xfId="0" applyFont="1" applyBorder="1"/>
    <xf numFmtId="176" fontId="2" fillId="0" borderId="0" xfId="1" applyNumberFormat="1" applyFont="1" applyBorder="1"/>
    <xf numFmtId="10" fontId="0" fillId="0" borderId="0" xfId="2" applyNumberFormat="1" applyFont="1"/>
    <xf numFmtId="0" fontId="0" fillId="4" borderId="0" xfId="0" applyFill="1" applyAlignment="1">
      <alignment horizontal="left"/>
    </xf>
    <xf numFmtId="0" fontId="2" fillId="0" borderId="5" xfId="0" applyFont="1" applyBorder="1" applyAlignment="1">
      <alignment horizontal="left" indent="1"/>
    </xf>
    <xf numFmtId="0" fontId="2" fillId="0" borderId="2" xfId="0" applyFont="1" applyBorder="1" applyAlignment="1">
      <alignment horizontal="left"/>
    </xf>
    <xf numFmtId="0" fontId="0" fillId="0" borderId="2" xfId="0" applyFont="1" applyBorder="1"/>
    <xf numFmtId="0" fontId="2" fillId="0" borderId="6" xfId="0" applyFont="1" applyBorder="1"/>
    <xf numFmtId="0" fontId="3" fillId="8" borderId="0" xfId="0" applyFont="1" applyFill="1"/>
    <xf numFmtId="176" fontId="3" fillId="8" borderId="0" xfId="1" applyNumberFormat="1" applyFont="1" applyFill="1"/>
    <xf numFmtId="0" fontId="11" fillId="9" borderId="0" xfId="0" applyFont="1" applyFill="1"/>
    <xf numFmtId="0" fontId="0" fillId="9" borderId="0" xfId="0" applyFill="1"/>
    <xf numFmtId="176" fontId="0" fillId="9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486D-5917-4227-B314-80279DEF1964}">
  <sheetPr>
    <pageSetUpPr autoPageBreaks="0"/>
  </sheetPr>
  <dimension ref="A1:J104"/>
  <sheetViews>
    <sheetView showGridLines="0" topLeftCell="A42" workbookViewId="0">
      <selection activeCell="B52" sqref="B52"/>
    </sheetView>
  </sheetViews>
  <sheetFormatPr defaultRowHeight="14.5" x14ac:dyDescent="0.35"/>
  <cols>
    <col min="1" max="1" width="30.6328125" customWidth="1"/>
    <col min="2" max="2" width="14.453125" customWidth="1"/>
    <col min="3" max="3" width="20.26953125" customWidth="1"/>
    <col min="4" max="4" width="12.54296875" customWidth="1"/>
    <col min="5" max="5" width="11" customWidth="1"/>
    <col min="6" max="6" width="11.7265625" customWidth="1"/>
    <col min="7" max="7" width="11.26953125" customWidth="1"/>
    <col min="8" max="8" width="11.08984375" bestFit="1" customWidth="1"/>
  </cols>
  <sheetData>
    <row r="1" spans="1:3" x14ac:dyDescent="0.35">
      <c r="A1" s="17" t="s">
        <v>14</v>
      </c>
      <c r="B1" s="17" t="s">
        <v>2</v>
      </c>
    </row>
    <row r="2" spans="1:3" x14ac:dyDescent="0.35">
      <c r="A2" t="s">
        <v>13</v>
      </c>
      <c r="B2" s="19">
        <v>45748</v>
      </c>
    </row>
    <row r="3" spans="1:3" x14ac:dyDescent="0.35">
      <c r="A3" t="s">
        <v>12</v>
      </c>
      <c r="B3">
        <v>365</v>
      </c>
    </row>
    <row r="4" spans="1:3" x14ac:dyDescent="0.35">
      <c r="A4" t="s">
        <v>11</v>
      </c>
      <c r="B4" s="12">
        <v>45000000</v>
      </c>
    </row>
    <row r="5" spans="1:3" x14ac:dyDescent="0.35">
      <c r="A5" t="s">
        <v>10</v>
      </c>
      <c r="B5">
        <v>3000</v>
      </c>
      <c r="C5" t="s">
        <v>3</v>
      </c>
    </row>
    <row r="6" spans="1:3" x14ac:dyDescent="0.35">
      <c r="A6" t="s">
        <v>9</v>
      </c>
      <c r="B6">
        <v>2400</v>
      </c>
      <c r="C6" t="s">
        <v>3</v>
      </c>
    </row>
    <row r="7" spans="1:3" x14ac:dyDescent="0.35">
      <c r="A7" t="s">
        <v>7</v>
      </c>
      <c r="B7" s="5">
        <v>0.05</v>
      </c>
    </row>
    <row r="8" spans="1:3" x14ac:dyDescent="0.35">
      <c r="A8" t="s">
        <v>8</v>
      </c>
      <c r="B8" s="5">
        <v>0.08</v>
      </c>
    </row>
    <row r="9" spans="1:3" x14ac:dyDescent="0.35">
      <c r="A9" t="s">
        <v>6</v>
      </c>
      <c r="B9" s="5">
        <v>0.13</v>
      </c>
    </row>
    <row r="10" spans="1:3" x14ac:dyDescent="0.35">
      <c r="A10" s="10" t="s">
        <v>27</v>
      </c>
      <c r="B10" s="12">
        <v>5000000</v>
      </c>
    </row>
    <row r="11" spans="1:3" x14ac:dyDescent="0.35">
      <c r="A11" t="s">
        <v>5</v>
      </c>
      <c r="B11" s="5">
        <v>0.06</v>
      </c>
    </row>
    <row r="12" spans="1:3" x14ac:dyDescent="0.35">
      <c r="A12" t="s">
        <v>4</v>
      </c>
      <c r="B12" s="6">
        <v>0.25169999999999998</v>
      </c>
    </row>
    <row r="14" spans="1:3" x14ac:dyDescent="0.35">
      <c r="A14" s="17" t="s">
        <v>15</v>
      </c>
      <c r="B14" s="70" t="s">
        <v>16</v>
      </c>
      <c r="C14" s="70"/>
    </row>
    <row r="15" spans="1:3" x14ac:dyDescent="0.35">
      <c r="A15" t="s">
        <v>13</v>
      </c>
      <c r="B15" s="18">
        <v>45748</v>
      </c>
    </row>
    <row r="16" spans="1:3" x14ac:dyDescent="0.35">
      <c r="A16" t="s">
        <v>12</v>
      </c>
      <c r="B16">
        <v>365</v>
      </c>
    </row>
    <row r="18" spans="1:2" x14ac:dyDescent="0.35">
      <c r="A18" t="s">
        <v>17</v>
      </c>
      <c r="B18" s="12">
        <v>3000000</v>
      </c>
    </row>
    <row r="19" spans="1:2" x14ac:dyDescent="0.35">
      <c r="A19" t="s">
        <v>18</v>
      </c>
      <c r="B19" s="12">
        <v>1100000</v>
      </c>
    </row>
    <row r="20" spans="1:2" x14ac:dyDescent="0.35">
      <c r="A20" t="s">
        <v>19</v>
      </c>
      <c r="B20" s="12">
        <v>5000000</v>
      </c>
    </row>
    <row r="21" spans="1:2" x14ac:dyDescent="0.35">
      <c r="A21" t="s">
        <v>20</v>
      </c>
      <c r="B21" s="12">
        <v>2000000</v>
      </c>
    </row>
    <row r="22" spans="1:2" x14ac:dyDescent="0.35">
      <c r="A22" t="s">
        <v>21</v>
      </c>
      <c r="B22" s="12">
        <v>1000000</v>
      </c>
    </row>
    <row r="23" spans="1:2" x14ac:dyDescent="0.35">
      <c r="A23" t="s">
        <v>22</v>
      </c>
      <c r="B23" s="12">
        <v>3500000</v>
      </c>
    </row>
    <row r="24" spans="1:2" x14ac:dyDescent="0.35">
      <c r="A24" s="7" t="s">
        <v>23</v>
      </c>
      <c r="B24" s="58">
        <f>SUM(B18:B23)</f>
        <v>15600000</v>
      </c>
    </row>
    <row r="26" spans="1:2" x14ac:dyDescent="0.35">
      <c r="A26" s="1" t="s">
        <v>24</v>
      </c>
    </row>
    <row r="27" spans="1:2" x14ac:dyDescent="0.35">
      <c r="A27" t="s">
        <v>17</v>
      </c>
      <c r="B27" s="5">
        <v>0.05</v>
      </c>
    </row>
    <row r="28" spans="1:2" x14ac:dyDescent="0.35">
      <c r="A28" t="s">
        <v>18</v>
      </c>
      <c r="B28" s="5">
        <v>0.1</v>
      </c>
    </row>
    <row r="29" spans="1:2" x14ac:dyDescent="0.35">
      <c r="A29" t="s">
        <v>25</v>
      </c>
      <c r="B29" s="5">
        <v>0.1</v>
      </c>
    </row>
    <row r="30" spans="1:2" x14ac:dyDescent="0.35">
      <c r="A30" t="s">
        <v>20</v>
      </c>
      <c r="B30" s="5">
        <v>0.1</v>
      </c>
    </row>
    <row r="31" spans="1:2" x14ac:dyDescent="0.35">
      <c r="A31" t="s">
        <v>21</v>
      </c>
      <c r="B31" s="5">
        <v>0.1</v>
      </c>
    </row>
    <row r="32" spans="1:2" x14ac:dyDescent="0.35">
      <c r="A32" t="s">
        <v>22</v>
      </c>
      <c r="B32" s="5">
        <v>0.15</v>
      </c>
    </row>
    <row r="34" spans="1:3" x14ac:dyDescent="0.35">
      <c r="A34" t="s">
        <v>10</v>
      </c>
      <c r="B34" s="21">
        <v>3000</v>
      </c>
      <c r="C34" t="s">
        <v>3</v>
      </c>
    </row>
    <row r="35" spans="1:3" x14ac:dyDescent="0.35">
      <c r="A35" t="s">
        <v>9</v>
      </c>
      <c r="B35" s="5">
        <v>24</v>
      </c>
      <c r="C35" t="s">
        <v>3</v>
      </c>
    </row>
    <row r="36" spans="1:3" x14ac:dyDescent="0.35">
      <c r="A36" t="s">
        <v>51</v>
      </c>
      <c r="B36" s="5">
        <v>7.2</v>
      </c>
      <c r="C36" t="s">
        <v>3</v>
      </c>
    </row>
    <row r="37" spans="1:3" x14ac:dyDescent="0.35">
      <c r="A37" t="s">
        <v>52</v>
      </c>
      <c r="B37" s="5">
        <v>2.4</v>
      </c>
      <c r="C37" t="s">
        <v>3</v>
      </c>
    </row>
    <row r="38" spans="1:3" x14ac:dyDescent="0.35">
      <c r="A38" t="s">
        <v>53</v>
      </c>
      <c r="B38" s="5">
        <v>0.72</v>
      </c>
      <c r="C38" t="s">
        <v>3</v>
      </c>
    </row>
    <row r="39" spans="1:3" x14ac:dyDescent="0.35">
      <c r="A39" t="s">
        <v>54</v>
      </c>
      <c r="B39" s="5">
        <v>0.48</v>
      </c>
      <c r="C39" t="s">
        <v>3</v>
      </c>
    </row>
    <row r="40" spans="1:3" ht="15" thickBot="1" x14ac:dyDescent="0.4">
      <c r="A40" t="s">
        <v>55</v>
      </c>
      <c r="B40" s="5">
        <v>13.2</v>
      </c>
      <c r="C40" t="s">
        <v>3</v>
      </c>
    </row>
    <row r="41" spans="1:3" x14ac:dyDescent="0.35">
      <c r="A41" s="23" t="s">
        <v>56</v>
      </c>
      <c r="B41" s="23">
        <v>2400</v>
      </c>
      <c r="C41" s="23" t="s">
        <v>3</v>
      </c>
    </row>
    <row r="42" spans="1:3" x14ac:dyDescent="0.35">
      <c r="A42" t="s">
        <v>57</v>
      </c>
      <c r="B42" s="22">
        <v>4</v>
      </c>
      <c r="C42" t="s">
        <v>70</v>
      </c>
    </row>
    <row r="43" spans="1:3" x14ac:dyDescent="0.35">
      <c r="A43" t="s">
        <v>58</v>
      </c>
      <c r="B43" s="20">
        <v>50</v>
      </c>
      <c r="C43" t="s">
        <v>3</v>
      </c>
    </row>
    <row r="44" spans="1:3" x14ac:dyDescent="0.35">
      <c r="A44" t="s">
        <v>59</v>
      </c>
      <c r="B44" s="22">
        <v>26</v>
      </c>
      <c r="C44" t="s">
        <v>71</v>
      </c>
    </row>
    <row r="45" spans="1:3" x14ac:dyDescent="0.35">
      <c r="A45" t="s">
        <v>42</v>
      </c>
      <c r="B45" s="22">
        <v>104</v>
      </c>
      <c r="C45" t="s">
        <v>70</v>
      </c>
    </row>
    <row r="47" spans="1:3" x14ac:dyDescent="0.35">
      <c r="A47" t="s">
        <v>60</v>
      </c>
      <c r="B47" s="22">
        <v>14</v>
      </c>
      <c r="C47" t="s">
        <v>69</v>
      </c>
    </row>
    <row r="48" spans="1:3" x14ac:dyDescent="0.35">
      <c r="A48" t="s">
        <v>63</v>
      </c>
      <c r="B48" s="22">
        <v>1</v>
      </c>
      <c r="C48" t="s">
        <v>68</v>
      </c>
    </row>
    <row r="49" spans="1:3" x14ac:dyDescent="0.35">
      <c r="A49" t="s">
        <v>61</v>
      </c>
      <c r="B49" s="22">
        <v>14</v>
      </c>
      <c r="C49" t="s">
        <v>67</v>
      </c>
    </row>
    <row r="50" spans="1:3" x14ac:dyDescent="0.35">
      <c r="B50" s="22"/>
    </row>
    <row r="51" spans="1:3" x14ac:dyDescent="0.35">
      <c r="A51" t="s">
        <v>44</v>
      </c>
      <c r="B51" s="4">
        <v>235</v>
      </c>
    </row>
    <row r="52" spans="1:3" x14ac:dyDescent="0.35">
      <c r="A52" t="s">
        <v>62</v>
      </c>
      <c r="B52" s="5">
        <v>0.05</v>
      </c>
    </row>
    <row r="53" spans="1:3" x14ac:dyDescent="0.35">
      <c r="A53" s="1" t="s">
        <v>40</v>
      </c>
    </row>
    <row r="54" spans="1:3" x14ac:dyDescent="0.35">
      <c r="A54" s="1" t="s">
        <v>41</v>
      </c>
      <c r="B54" s="5">
        <v>0.38</v>
      </c>
    </row>
    <row r="55" spans="1:3" x14ac:dyDescent="0.35">
      <c r="A55" t="s">
        <v>62</v>
      </c>
      <c r="B55" s="5">
        <v>0.04</v>
      </c>
    </row>
    <row r="56" spans="1:3" x14ac:dyDescent="0.35">
      <c r="A56" t="s">
        <v>64</v>
      </c>
      <c r="B56" s="5">
        <v>0.5</v>
      </c>
    </row>
    <row r="57" spans="1:3" x14ac:dyDescent="0.35">
      <c r="A57" s="1" t="s">
        <v>39</v>
      </c>
      <c r="B57" s="5">
        <v>0.45</v>
      </c>
    </row>
    <row r="58" spans="1:3" x14ac:dyDescent="0.35">
      <c r="A58" t="s">
        <v>62</v>
      </c>
      <c r="B58" s="5">
        <v>0.05</v>
      </c>
    </row>
    <row r="59" spans="1:3" x14ac:dyDescent="0.35">
      <c r="A59" t="s">
        <v>64</v>
      </c>
      <c r="B59" s="5">
        <v>0.6</v>
      </c>
    </row>
    <row r="61" spans="1:3" x14ac:dyDescent="0.35">
      <c r="A61" s="1" t="s">
        <v>65</v>
      </c>
      <c r="B61" s="5"/>
    </row>
    <row r="62" spans="1:3" x14ac:dyDescent="0.35">
      <c r="A62" t="s">
        <v>66</v>
      </c>
      <c r="B62" s="5">
        <v>0.2</v>
      </c>
    </row>
    <row r="64" spans="1:3" x14ac:dyDescent="0.35">
      <c r="A64" t="s">
        <v>98</v>
      </c>
    </row>
    <row r="65" spans="1:10" x14ac:dyDescent="0.35">
      <c r="A65" t="s">
        <v>99</v>
      </c>
      <c r="B65" s="5">
        <v>0.08</v>
      </c>
    </row>
    <row r="66" spans="1:10" x14ac:dyDescent="0.35">
      <c r="A66" t="s">
        <v>78</v>
      </c>
      <c r="B66" s="5">
        <v>0.36</v>
      </c>
    </row>
    <row r="67" spans="1:10" x14ac:dyDescent="0.35">
      <c r="A67" t="s">
        <v>100</v>
      </c>
      <c r="B67" s="5">
        <v>0.06</v>
      </c>
    </row>
    <row r="68" spans="1:10" x14ac:dyDescent="0.35">
      <c r="A68" t="s">
        <v>101</v>
      </c>
      <c r="B68" s="5">
        <v>0.04</v>
      </c>
      <c r="C68" t="s">
        <v>102</v>
      </c>
    </row>
    <row r="70" spans="1:10" x14ac:dyDescent="0.35">
      <c r="A70" s="41" t="s">
        <v>83</v>
      </c>
      <c r="B70" s="42"/>
      <c r="C70" s="42"/>
      <c r="D70" s="42"/>
      <c r="E70" s="42"/>
      <c r="F70" s="42"/>
      <c r="G70" s="42"/>
      <c r="H70" s="42"/>
      <c r="I70" s="42"/>
      <c r="J70" s="42"/>
    </row>
    <row r="71" spans="1:10" x14ac:dyDescent="0.35">
      <c r="A71" s="1" t="s">
        <v>84</v>
      </c>
      <c r="D71" s="40" t="s">
        <v>93</v>
      </c>
      <c r="E71" s="40" t="s">
        <v>94</v>
      </c>
      <c r="F71" s="40" t="s">
        <v>95</v>
      </c>
      <c r="G71" s="40" t="s">
        <v>96</v>
      </c>
      <c r="H71" s="40" t="s">
        <v>97</v>
      </c>
    </row>
    <row r="72" spans="1:10" x14ac:dyDescent="0.35">
      <c r="A72" t="s">
        <v>85</v>
      </c>
      <c r="B72" s="12">
        <v>240000</v>
      </c>
      <c r="C72" s="12"/>
      <c r="D72" s="12">
        <v>240000</v>
      </c>
      <c r="E72" s="12">
        <v>252000</v>
      </c>
      <c r="F72" s="12">
        <v>264600</v>
      </c>
      <c r="G72" s="12">
        <v>277830</v>
      </c>
      <c r="H72" s="12">
        <v>291722</v>
      </c>
    </row>
    <row r="73" spans="1:10" x14ac:dyDescent="0.35">
      <c r="A73" t="s">
        <v>86</v>
      </c>
      <c r="B73" s="12">
        <v>420000</v>
      </c>
      <c r="C73" s="12"/>
      <c r="D73" s="12">
        <v>360000</v>
      </c>
      <c r="E73" s="12">
        <v>385200</v>
      </c>
      <c r="F73" s="12">
        <v>412164</v>
      </c>
      <c r="G73" s="12">
        <v>441015</v>
      </c>
      <c r="H73" s="12">
        <v>471887</v>
      </c>
    </row>
    <row r="74" spans="1:10" x14ac:dyDescent="0.35">
      <c r="A74" t="s">
        <v>87</v>
      </c>
      <c r="B74" s="12">
        <v>720000</v>
      </c>
      <c r="C74" s="12"/>
      <c r="D74" s="12">
        <v>720000</v>
      </c>
      <c r="E74" s="12">
        <v>770400</v>
      </c>
      <c r="F74" s="12">
        <v>824328</v>
      </c>
      <c r="G74" s="12">
        <v>882031</v>
      </c>
      <c r="H74" s="12">
        <v>943773</v>
      </c>
    </row>
    <row r="75" spans="1:10" x14ac:dyDescent="0.35">
      <c r="A75" t="s">
        <v>88</v>
      </c>
      <c r="B75" s="12">
        <v>1000000</v>
      </c>
      <c r="C75" s="12"/>
      <c r="D75" s="12">
        <v>1000000</v>
      </c>
      <c r="E75" s="12">
        <v>1070000</v>
      </c>
      <c r="F75" s="12">
        <v>1144900</v>
      </c>
      <c r="G75" s="12">
        <v>1225043</v>
      </c>
      <c r="H75" s="12">
        <v>1310796</v>
      </c>
    </row>
    <row r="77" spans="1:10" x14ac:dyDescent="0.35">
      <c r="A77" s="1" t="s">
        <v>89</v>
      </c>
    </row>
    <row r="78" spans="1:10" x14ac:dyDescent="0.35">
      <c r="A78" t="s">
        <v>85</v>
      </c>
      <c r="B78" s="5">
        <v>0.05</v>
      </c>
    </row>
    <row r="79" spans="1:10" x14ac:dyDescent="0.35">
      <c r="A79" t="s">
        <v>86</v>
      </c>
      <c r="B79" s="5">
        <v>7.0000000000000007E-2</v>
      </c>
    </row>
    <row r="80" spans="1:10" x14ac:dyDescent="0.35">
      <c r="A80" t="s">
        <v>87</v>
      </c>
      <c r="B80" s="5">
        <v>7.0000000000000007E-2</v>
      </c>
    </row>
    <row r="81" spans="1:8" x14ac:dyDescent="0.35">
      <c r="A81" t="s">
        <v>88</v>
      </c>
      <c r="B81" s="5">
        <v>7.0000000000000007E-2</v>
      </c>
    </row>
    <row r="83" spans="1:8" x14ac:dyDescent="0.35">
      <c r="A83" t="s">
        <v>90</v>
      </c>
      <c r="D83" s="40" t="s">
        <v>93</v>
      </c>
      <c r="E83" s="40" t="s">
        <v>94</v>
      </c>
      <c r="F83" s="40" t="s">
        <v>95</v>
      </c>
      <c r="G83" s="40" t="s">
        <v>96</v>
      </c>
      <c r="H83" s="40" t="s">
        <v>97</v>
      </c>
    </row>
    <row r="84" spans="1:8" x14ac:dyDescent="0.35">
      <c r="A84" t="s">
        <v>85</v>
      </c>
      <c r="D84">
        <v>2</v>
      </c>
      <c r="E84">
        <v>3</v>
      </c>
      <c r="F84">
        <v>4</v>
      </c>
      <c r="G84">
        <v>5</v>
      </c>
      <c r="H84">
        <v>5</v>
      </c>
    </row>
    <row r="85" spans="1:8" x14ac:dyDescent="0.35">
      <c r="A85" t="s">
        <v>86</v>
      </c>
      <c r="D85">
        <v>16</v>
      </c>
      <c r="E85">
        <v>20</v>
      </c>
      <c r="F85">
        <v>20</v>
      </c>
      <c r="G85">
        <v>24</v>
      </c>
      <c r="H85">
        <v>24</v>
      </c>
    </row>
    <row r="86" spans="1:8" x14ac:dyDescent="0.35">
      <c r="A86" t="s">
        <v>87</v>
      </c>
      <c r="D86">
        <v>1</v>
      </c>
      <c r="E86">
        <v>1</v>
      </c>
      <c r="F86">
        <v>1</v>
      </c>
      <c r="G86">
        <v>1</v>
      </c>
      <c r="H86">
        <v>1</v>
      </c>
    </row>
    <row r="87" spans="1:8" x14ac:dyDescent="0.35">
      <c r="A87" t="s">
        <v>88</v>
      </c>
      <c r="D87">
        <v>1</v>
      </c>
      <c r="E87">
        <v>1</v>
      </c>
      <c r="F87">
        <v>1</v>
      </c>
      <c r="G87">
        <v>1</v>
      </c>
      <c r="H87">
        <v>1</v>
      </c>
    </row>
    <row r="89" spans="1:8" x14ac:dyDescent="0.35">
      <c r="A89" t="s">
        <v>91</v>
      </c>
      <c r="B89">
        <v>2</v>
      </c>
      <c r="C89" t="s">
        <v>92</v>
      </c>
    </row>
    <row r="91" spans="1:8" x14ac:dyDescent="0.35">
      <c r="A91" t="s">
        <v>105</v>
      </c>
      <c r="B91" s="12">
        <v>2400000</v>
      </c>
    </row>
    <row r="92" spans="1:8" x14ac:dyDescent="0.35">
      <c r="A92" t="s">
        <v>106</v>
      </c>
      <c r="B92" s="12">
        <v>1200000</v>
      </c>
    </row>
    <row r="93" spans="1:8" x14ac:dyDescent="0.35">
      <c r="A93" t="s">
        <v>107</v>
      </c>
      <c r="B93" s="12">
        <v>600000</v>
      </c>
    </row>
    <row r="95" spans="1:8" x14ac:dyDescent="0.35">
      <c r="A95" s="1" t="s">
        <v>108</v>
      </c>
    </row>
    <row r="96" spans="1:8" x14ac:dyDescent="0.35">
      <c r="A96" t="s">
        <v>105</v>
      </c>
      <c r="B96" s="5">
        <v>0.05</v>
      </c>
    </row>
    <row r="97" spans="1:3" x14ac:dyDescent="0.35">
      <c r="A97" t="s">
        <v>106</v>
      </c>
      <c r="B97" s="5">
        <v>0.02</v>
      </c>
    </row>
    <row r="98" spans="1:3" x14ac:dyDescent="0.35">
      <c r="A98" t="s">
        <v>107</v>
      </c>
      <c r="B98" s="5">
        <v>0.03</v>
      </c>
    </row>
    <row r="100" spans="1:3" x14ac:dyDescent="0.35">
      <c r="A100" t="s">
        <v>118</v>
      </c>
      <c r="B100" s="51">
        <v>30</v>
      </c>
      <c r="C100" t="s">
        <v>123</v>
      </c>
    </row>
    <row r="101" spans="1:3" x14ac:dyDescent="0.35">
      <c r="A101" t="s">
        <v>119</v>
      </c>
      <c r="B101" s="51">
        <v>7</v>
      </c>
      <c r="C101" t="s">
        <v>123</v>
      </c>
    </row>
    <row r="102" spans="1:3" x14ac:dyDescent="0.35">
      <c r="A102" t="s">
        <v>120</v>
      </c>
      <c r="B102" s="12">
        <v>2000000</v>
      </c>
    </row>
    <row r="103" spans="1:3" x14ac:dyDescent="0.35">
      <c r="A103" t="s">
        <v>121</v>
      </c>
      <c r="B103" s="5">
        <v>0.18</v>
      </c>
    </row>
    <row r="104" spans="1:3" x14ac:dyDescent="0.35">
      <c r="A104" t="s">
        <v>122</v>
      </c>
      <c r="B104" s="5">
        <v>0.05</v>
      </c>
    </row>
  </sheetData>
  <mergeCells count="1">
    <mergeCell ref="B14:C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C7D3-0BAC-4976-AE4A-E4793E419589}">
  <dimension ref="A1:I45"/>
  <sheetViews>
    <sheetView showGridLines="0" topLeftCell="A38" workbookViewId="0">
      <selection activeCell="A45" sqref="A45:H45"/>
    </sheetView>
  </sheetViews>
  <sheetFormatPr defaultRowHeight="14.5" x14ac:dyDescent="0.35"/>
  <cols>
    <col min="1" max="1" width="30.6328125" customWidth="1"/>
    <col min="2" max="2" width="12.6328125" customWidth="1"/>
    <col min="3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t="s">
        <v>37</v>
      </c>
      <c r="C3" s="9">
        <f>IF(C2&gt;Input!$B$15,MIN(C$2-Input!$B$15+1,Input!$B$16),0)</f>
        <v>0</v>
      </c>
      <c r="D3" s="9">
        <f>IF(D2&gt;Input!$B$15,MIN(D$2-Input!$B$15+1,Input!$B$16),0)</f>
        <v>365</v>
      </c>
      <c r="E3" s="9">
        <f>IF(E2&gt;Input!$B$15,MIN(E$2-Input!$B$15+1,Input!$B$16),0)</f>
        <v>365</v>
      </c>
      <c r="F3" s="9">
        <f>IF(F2&gt;Input!$B$15,MIN(F$2-Input!$B$15+1,Input!$B$16),0)</f>
        <v>365</v>
      </c>
      <c r="G3" s="9">
        <f>IF(G2&gt;Input!$B$15,MIN(G$2-Input!$B$15+1,Input!$B$16),0)</f>
        <v>365</v>
      </c>
      <c r="H3" s="9">
        <f>IF(H2&gt;Input!$B$15,MIN(H$2-Input!$B$15+1,Input!$B$16),0)</f>
        <v>365</v>
      </c>
    </row>
    <row r="4" spans="1:8" x14ac:dyDescent="0.35">
      <c r="A4" t="s">
        <v>38</v>
      </c>
      <c r="C4" s="9">
        <f>IF(C$2&gt;Input!$B$15,NETWORKDAYS(B2,C2),0)</f>
        <v>0</v>
      </c>
      <c r="D4" s="9">
        <f>IF(D$2&gt;Input!$B$15,NETWORKDAYS(C2,D2),0)</f>
        <v>261</v>
      </c>
      <c r="E4" s="9">
        <f>IF(E$2&gt;Input!$B$15,NETWORKDAYS(D2,E2),0)</f>
        <v>262</v>
      </c>
      <c r="F4" s="9">
        <f>IF(F$2&gt;Input!$B$15,NETWORKDAYS(E2,F2),0)</f>
        <v>263</v>
      </c>
      <c r="G4" s="9">
        <f>IF(G$2&gt;Input!$B$15,NETWORKDAYS(F2,G2),0)</f>
        <v>261</v>
      </c>
      <c r="H4" s="9">
        <f>IF(H$2&gt;Input!$B$15,NETWORKDAYS(G2,H2),0)</f>
        <v>260</v>
      </c>
    </row>
    <row r="5" spans="1:8" x14ac:dyDescent="0.35">
      <c r="A5" t="s">
        <v>39</v>
      </c>
      <c r="C5" s="9">
        <f>IFERROR(C3-C4,0)</f>
        <v>0</v>
      </c>
      <c r="D5" s="9">
        <f>IFERROR(D3-D4,0)</f>
        <v>104</v>
      </c>
      <c r="E5" s="9">
        <f t="shared" ref="E5:H5" si="1">IFERROR(E3-E4,0)</f>
        <v>103</v>
      </c>
      <c r="F5" s="9">
        <f t="shared" si="1"/>
        <v>102</v>
      </c>
      <c r="G5" s="9">
        <f t="shared" si="1"/>
        <v>104</v>
      </c>
      <c r="H5" s="9">
        <f t="shared" si="1"/>
        <v>105</v>
      </c>
    </row>
    <row r="7" spans="1:8" x14ac:dyDescent="0.35">
      <c r="A7" s="1" t="s">
        <v>40</v>
      </c>
    </row>
    <row r="8" spans="1:8" x14ac:dyDescent="0.35">
      <c r="A8" t="s">
        <v>38</v>
      </c>
      <c r="C8" s="24">
        <f>IF(Revenue!C$2&gt;Input!$B$15,MIN(MAX(Input!A54,B8+Input!$B$55),Input!$B$56),0)</f>
        <v>0</v>
      </c>
      <c r="D8" s="24">
        <f>IF(Revenue!D$2&gt;Input!$B$15,MIN(MAX(Input!B54,C8+Input!$B$55),Input!$B$56),0)</f>
        <v>0.38</v>
      </c>
      <c r="E8" s="24">
        <f>IF(Revenue!E$2&gt;Input!$B$15,MIN(MAX(Input!C54,D8+Input!$B$55),Input!$B$56),0)</f>
        <v>0.42</v>
      </c>
      <c r="F8" s="24">
        <f>IF(Revenue!F$2&gt;Input!$B$15,MIN(MAX(Input!D54,E8+Input!$B$55),Input!$B$56),0)</f>
        <v>0.45999999999999996</v>
      </c>
      <c r="G8" s="24">
        <f>IF(Revenue!G$2&gt;Input!$B$15,MIN(MAX(Input!E54,F8+Input!$B$55),Input!$B$56),0)</f>
        <v>0.49999999999999994</v>
      </c>
      <c r="H8" s="24">
        <f>IF(Revenue!H$2&gt;Input!$B$15,MIN(MAX(Input!F54,G8+Input!$B$55),Input!$B$56),0)</f>
        <v>0.5</v>
      </c>
    </row>
    <row r="9" spans="1:8" x14ac:dyDescent="0.35">
      <c r="A9" t="s">
        <v>39</v>
      </c>
      <c r="C9" s="24">
        <f>IF(Revenue!C$2&gt;Input!A15,MIN(MAX(Input!A57,Revenue!B9+Input!$B$58),Input!$B$59),0)</f>
        <v>0</v>
      </c>
      <c r="D9" s="24">
        <f>IF(Revenue!D$2&gt;Input!B15,MIN(MAX(Input!B57,Revenue!C9+Input!$B$58),Input!$B$59),0)</f>
        <v>0.45</v>
      </c>
      <c r="E9" s="24">
        <f>IF(Revenue!E$2&gt;Input!C15,MIN(MAX(Input!C57,Revenue!D9+Input!$B$58),Input!$B$59),0)</f>
        <v>0.5</v>
      </c>
      <c r="F9" s="24">
        <f>IF(Revenue!F$2&gt;Input!D15,MIN(MAX(Input!D57,Revenue!E9+Input!$B$58),Input!$B$59),0)</f>
        <v>0.55000000000000004</v>
      </c>
      <c r="G9" s="24">
        <f>IF(Revenue!G$2&gt;Input!E15,MIN(MAX(Input!E57,Revenue!F9+Input!$B$58),Input!$B$59),0)</f>
        <v>0.6</v>
      </c>
      <c r="H9" s="24">
        <f>IF(Revenue!H$2&gt;Input!F15,MIN(MAX(Input!F57,Revenue!G9+Input!$B$58),Input!$B$59),0)</f>
        <v>0.6</v>
      </c>
    </row>
    <row r="11" spans="1:8" x14ac:dyDescent="0.35">
      <c r="A11" t="s">
        <v>42</v>
      </c>
      <c r="C11" s="9">
        <f>IF(C2&gt;Input!$B$15,Input!$B$45,0)</f>
        <v>0</v>
      </c>
      <c r="D11" s="9">
        <f>IF(D2&gt;Input!$B$15,Input!$B$45,0)</f>
        <v>104</v>
      </c>
      <c r="E11" s="9">
        <f>IF(E2&gt;Input!$B$15,Input!$B$45,0)</f>
        <v>104</v>
      </c>
      <c r="F11" s="9">
        <f>IF(F2&gt;Input!$B$15,Input!$B$45,0)</f>
        <v>104</v>
      </c>
      <c r="G11" s="9">
        <f>IF(G2&gt;Input!$B$15,Input!$B$45,0)</f>
        <v>104</v>
      </c>
      <c r="H11" s="9">
        <f>IF(H2&gt;Input!$B$15,Input!$B$45,0)</f>
        <v>104</v>
      </c>
    </row>
    <row r="13" spans="1:8" x14ac:dyDescent="0.35">
      <c r="A13" t="s">
        <v>43</v>
      </c>
      <c r="C13" s="9">
        <f>IF(C2&gt;Input!$B$15,Input!$B$49,0)</f>
        <v>0</v>
      </c>
      <c r="D13" s="9">
        <f>IF(D2&gt;Input!$B$15,Input!$B$49,0)</f>
        <v>14</v>
      </c>
      <c r="E13" s="9">
        <f>IF(E2&gt;Input!$B$15,Input!$B$49,0)</f>
        <v>14</v>
      </c>
      <c r="F13" s="9">
        <f>IF(F2&gt;Input!$B$15,Input!$B$49,0)</f>
        <v>14</v>
      </c>
      <c r="G13" s="9">
        <f>IF(G2&gt;Input!$B$15,Input!$B$49,0)</f>
        <v>14</v>
      </c>
      <c r="H13" s="9">
        <f>IF(H2&gt;Input!$B$15,Input!$B$49,0)</f>
        <v>14</v>
      </c>
    </row>
    <row r="15" spans="1:8" x14ac:dyDescent="0.35">
      <c r="A15" s="1" t="s">
        <v>50</v>
      </c>
    </row>
    <row r="16" spans="1:8" x14ac:dyDescent="0.35">
      <c r="A16" t="s">
        <v>38</v>
      </c>
      <c r="C16" s="9">
        <f>$D$11*C8*$D$13</f>
        <v>0</v>
      </c>
      <c r="D16" s="9">
        <f>$D$11*D8*$D$13</f>
        <v>553.28000000000009</v>
      </c>
      <c r="E16" s="9">
        <f t="shared" ref="E16:H16" si="2">$D$11*E8*$D$13</f>
        <v>611.52</v>
      </c>
      <c r="F16" s="9">
        <f t="shared" si="2"/>
        <v>669.76</v>
      </c>
      <c r="G16" s="9">
        <f t="shared" si="2"/>
        <v>727.99999999999989</v>
      </c>
      <c r="H16" s="9">
        <f t="shared" si="2"/>
        <v>728</v>
      </c>
    </row>
    <row r="17" spans="1:8" x14ac:dyDescent="0.35">
      <c r="A17" t="s">
        <v>39</v>
      </c>
      <c r="C17" s="9">
        <f t="shared" ref="C17" si="3">$D$11*C9*$D$13</f>
        <v>0</v>
      </c>
      <c r="D17" s="9">
        <f t="shared" ref="D17:H17" si="4">$D$11*D9*$D$13</f>
        <v>655.20000000000005</v>
      </c>
      <c r="E17" s="9">
        <f t="shared" si="4"/>
        <v>728</v>
      </c>
      <c r="F17" s="9">
        <f t="shared" si="4"/>
        <v>800.80000000000007</v>
      </c>
      <c r="G17" s="9">
        <f t="shared" si="4"/>
        <v>873.6</v>
      </c>
      <c r="H17" s="9">
        <f t="shared" si="4"/>
        <v>873.6</v>
      </c>
    </row>
    <row r="19" spans="1:8" x14ac:dyDescent="0.35">
      <c r="A19" t="s">
        <v>44</v>
      </c>
      <c r="B19" s="20"/>
      <c r="C19" s="9">
        <f>IF(C$2&gt;=Input!$B$15,MAX(Input!$B$51,Revenue!B19*(1+Input!$B$52),)*0)</f>
        <v>0</v>
      </c>
      <c r="D19" s="9">
        <f>IF(D$2&gt;Input!C15,MAX(Input!$B$51,Revenue!C19*(1+Input!$B$52),0))</f>
        <v>235</v>
      </c>
      <c r="E19" s="9">
        <f>IF(E$2&gt;Input!D15,MAX(Input!$B$51,Revenue!D19*(1+Input!$B$52),0))</f>
        <v>246.75</v>
      </c>
      <c r="F19" s="9">
        <f>IF(F$2&gt;Input!E15,MAX(Input!$B$51,Revenue!E19*(1+Input!$B$52),0))</f>
        <v>259.08750000000003</v>
      </c>
      <c r="G19" s="9">
        <f>IF(G$2&gt;Input!F15,MAX(Input!$B$51,Revenue!F19*(1+Input!$B$52),0))</f>
        <v>272.04187500000006</v>
      </c>
      <c r="H19" s="9">
        <f>IF(H$2&gt;Input!G15,MAX(Input!$B$51,Revenue!G19*(1+Input!$B$52),0))</f>
        <v>285.64396875000006</v>
      </c>
    </row>
    <row r="21" spans="1:8" x14ac:dyDescent="0.35">
      <c r="A21" s="1" t="s">
        <v>45</v>
      </c>
    </row>
    <row r="22" spans="1:8" x14ac:dyDescent="0.35">
      <c r="A22" s="1" t="s">
        <v>46</v>
      </c>
    </row>
    <row r="23" spans="1:8" x14ac:dyDescent="0.35">
      <c r="A23" t="s">
        <v>38</v>
      </c>
      <c r="C23" s="9">
        <f>C16*C19</f>
        <v>0</v>
      </c>
      <c r="D23" s="9">
        <f>D16*D19</f>
        <v>130020.80000000002</v>
      </c>
      <c r="E23" s="9">
        <f t="shared" ref="E23:H23" si="5">E16*E19</f>
        <v>150892.56</v>
      </c>
      <c r="F23" s="9">
        <f t="shared" si="5"/>
        <v>173526.44400000002</v>
      </c>
      <c r="G23" s="9">
        <f t="shared" si="5"/>
        <v>198046.48500000002</v>
      </c>
      <c r="H23" s="9">
        <f t="shared" si="5"/>
        <v>207948.80925000005</v>
      </c>
    </row>
    <row r="24" spans="1:8" x14ac:dyDescent="0.35">
      <c r="A24" t="s">
        <v>39</v>
      </c>
      <c r="C24" s="9">
        <f>C17*C19</f>
        <v>0</v>
      </c>
      <c r="D24" s="9">
        <f>D17*D19</f>
        <v>153972</v>
      </c>
      <c r="E24" s="9">
        <f>E17*E19</f>
        <v>179634</v>
      </c>
      <c r="F24" s="9">
        <f>F17*F19</f>
        <v>207477.27000000005</v>
      </c>
      <c r="G24" s="9">
        <f>G17*G19</f>
        <v>237655.78200000006</v>
      </c>
      <c r="H24" s="9">
        <f>H17*H19</f>
        <v>249538.57110000006</v>
      </c>
    </row>
    <row r="25" spans="1:8" x14ac:dyDescent="0.35">
      <c r="A25" t="s">
        <v>47</v>
      </c>
    </row>
    <row r="26" spans="1:8" x14ac:dyDescent="0.35">
      <c r="A26" t="s">
        <v>38</v>
      </c>
      <c r="C26" s="9">
        <f>C23*Input!$B$62</f>
        <v>0</v>
      </c>
      <c r="D26" s="9">
        <f>D23*Input!$B$62</f>
        <v>26004.160000000003</v>
      </c>
      <c r="E26" s="9">
        <f>E23*Input!$B$62</f>
        <v>30178.512000000002</v>
      </c>
      <c r="F26" s="9">
        <f>F23*Input!$B$62</f>
        <v>34705.288800000002</v>
      </c>
      <c r="G26" s="9">
        <f>G23*Input!$B$62</f>
        <v>39609.297000000006</v>
      </c>
      <c r="H26" s="9">
        <f>H23*Input!$B$62</f>
        <v>41589.76185000001</v>
      </c>
    </row>
    <row r="27" spans="1:8" x14ac:dyDescent="0.35">
      <c r="A27" t="s">
        <v>39</v>
      </c>
      <c r="C27" s="9">
        <f>C24*Input!$B$62</f>
        <v>0</v>
      </c>
      <c r="D27" s="9">
        <f>D24*Input!$B$62</f>
        <v>30794.400000000001</v>
      </c>
      <c r="E27" s="9">
        <f>E24*Input!$B$62</f>
        <v>35926.800000000003</v>
      </c>
      <c r="F27" s="9">
        <f>F24*Input!$B$62</f>
        <v>41495.454000000012</v>
      </c>
      <c r="G27" s="9">
        <f>G24*Input!$B$62</f>
        <v>47531.156400000014</v>
      </c>
      <c r="H27" s="9">
        <f>H24*Input!$B$62</f>
        <v>49907.714220000016</v>
      </c>
    </row>
    <row r="28" spans="1:8" ht="15" thickBot="1" x14ac:dyDescent="0.4">
      <c r="A28" s="30" t="s">
        <v>48</v>
      </c>
      <c r="B28" s="27"/>
      <c r="C28" s="28"/>
      <c r="D28" s="28"/>
      <c r="E28" s="28"/>
      <c r="F28" s="28"/>
      <c r="G28" s="28"/>
      <c r="H28" s="28"/>
    </row>
    <row r="29" spans="1:8" x14ac:dyDescent="0.35">
      <c r="A29" s="67" t="s">
        <v>38</v>
      </c>
      <c r="B29" s="67"/>
      <c r="C29" s="68">
        <f t="shared" ref="C29:C30" si="6">C23+C26</f>
        <v>0</v>
      </c>
      <c r="D29" s="68">
        <f>D23+D26</f>
        <v>156024.96000000002</v>
      </c>
      <c r="E29" s="68">
        <f t="shared" ref="E29:H30" si="7">E23+E26</f>
        <v>181071.07199999999</v>
      </c>
      <c r="F29" s="68">
        <f t="shared" si="7"/>
        <v>208231.73280000003</v>
      </c>
      <c r="G29" s="68">
        <f t="shared" si="7"/>
        <v>237655.78200000001</v>
      </c>
      <c r="H29" s="68">
        <f t="shared" si="7"/>
        <v>249538.57110000006</v>
      </c>
    </row>
    <row r="30" spans="1:8" ht="15" thickBot="1" x14ac:dyDescent="0.4">
      <c r="A30" s="30" t="s">
        <v>39</v>
      </c>
      <c r="B30" s="30"/>
      <c r="C30" s="31">
        <f t="shared" si="6"/>
        <v>0</v>
      </c>
      <c r="D30" s="31">
        <f>D24+D27</f>
        <v>184766.4</v>
      </c>
      <c r="E30" s="31">
        <f t="shared" si="7"/>
        <v>215560.8</v>
      </c>
      <c r="F30" s="31">
        <f t="shared" si="7"/>
        <v>248972.72400000005</v>
      </c>
      <c r="G30" s="31">
        <f t="shared" si="7"/>
        <v>285186.9384000001</v>
      </c>
      <c r="H30" s="31">
        <f t="shared" si="7"/>
        <v>299446.28532000008</v>
      </c>
    </row>
    <row r="32" spans="1:8" x14ac:dyDescent="0.35">
      <c r="A32" s="1" t="s">
        <v>49</v>
      </c>
    </row>
    <row r="33" spans="1:9" x14ac:dyDescent="0.35">
      <c r="A33" s="1" t="s">
        <v>46</v>
      </c>
    </row>
    <row r="34" spans="1:9" x14ac:dyDescent="0.35">
      <c r="A34" t="s">
        <v>38</v>
      </c>
      <c r="C34" s="9">
        <f t="shared" ref="C34:C40" si="8">C23*C4</f>
        <v>0</v>
      </c>
      <c r="D34" s="9">
        <f>D23*D4</f>
        <v>33935428.800000004</v>
      </c>
      <c r="E34" s="9">
        <f t="shared" ref="E34:H35" si="9">E23*E4</f>
        <v>39533850.719999999</v>
      </c>
      <c r="F34" s="9">
        <f t="shared" si="9"/>
        <v>45637454.772000007</v>
      </c>
      <c r="G34" s="9">
        <f t="shared" si="9"/>
        <v>51690132.585000001</v>
      </c>
      <c r="H34" s="9">
        <f t="shared" si="9"/>
        <v>54066690.405000016</v>
      </c>
    </row>
    <row r="35" spans="1:9" ht="15" thickBot="1" x14ac:dyDescent="0.4">
      <c r="A35" t="s">
        <v>39</v>
      </c>
      <c r="C35" s="9">
        <f t="shared" si="8"/>
        <v>0</v>
      </c>
      <c r="D35" s="9">
        <f>D24*D5</f>
        <v>16013088</v>
      </c>
      <c r="E35" s="9">
        <f t="shared" si="9"/>
        <v>18502302</v>
      </c>
      <c r="F35" s="9">
        <f t="shared" si="9"/>
        <v>21162681.540000007</v>
      </c>
      <c r="G35" s="9">
        <f t="shared" si="9"/>
        <v>24716201.328000005</v>
      </c>
      <c r="H35" s="9">
        <f t="shared" si="9"/>
        <v>26201549.965500005</v>
      </c>
    </row>
    <row r="36" spans="1:9" x14ac:dyDescent="0.35">
      <c r="A36" s="23" t="s">
        <v>72</v>
      </c>
      <c r="B36" s="25"/>
      <c r="C36" s="26">
        <f t="shared" si="8"/>
        <v>0</v>
      </c>
      <c r="D36" s="29">
        <f>D34+D35</f>
        <v>49948516.800000004</v>
      </c>
      <c r="E36" s="29">
        <f t="shared" ref="E36:H36" si="10">E34+E35</f>
        <v>58036152.719999999</v>
      </c>
      <c r="F36" s="29">
        <f t="shared" si="10"/>
        <v>66800136.312000014</v>
      </c>
      <c r="G36" s="29">
        <f t="shared" si="10"/>
        <v>76406333.913000003</v>
      </c>
      <c r="H36" s="29">
        <f t="shared" si="10"/>
        <v>80268240.370500028</v>
      </c>
    </row>
    <row r="37" spans="1:9" x14ac:dyDescent="0.35">
      <c r="A37" s="1" t="s">
        <v>47</v>
      </c>
      <c r="C37" s="9">
        <f t="shared" si="8"/>
        <v>0</v>
      </c>
    </row>
    <row r="38" spans="1:9" x14ac:dyDescent="0.35">
      <c r="A38" t="s">
        <v>38</v>
      </c>
      <c r="C38" s="9">
        <f t="shared" si="8"/>
        <v>0</v>
      </c>
      <c r="D38" s="9">
        <f>D26*D4</f>
        <v>6787085.7600000007</v>
      </c>
      <c r="E38" s="9">
        <f t="shared" ref="E38:H39" si="11">E26*E4</f>
        <v>7906770.1440000003</v>
      </c>
      <c r="F38" s="9">
        <f t="shared" si="11"/>
        <v>9127490.9544000011</v>
      </c>
      <c r="G38" s="9">
        <f t="shared" si="11"/>
        <v>10338026.517000001</v>
      </c>
      <c r="H38" s="9">
        <f t="shared" si="11"/>
        <v>10813338.081000002</v>
      </c>
    </row>
    <row r="39" spans="1:9" ht="15" thickBot="1" x14ac:dyDescent="0.4">
      <c r="A39" t="s">
        <v>39</v>
      </c>
      <c r="C39" s="9">
        <f t="shared" si="8"/>
        <v>0</v>
      </c>
      <c r="D39" s="9">
        <f>D27*D5</f>
        <v>3202617.6</v>
      </c>
      <c r="E39" s="9">
        <f t="shared" si="11"/>
        <v>3700460.4000000004</v>
      </c>
      <c r="F39" s="9">
        <f t="shared" si="11"/>
        <v>4232536.3080000011</v>
      </c>
      <c r="G39" s="9">
        <f t="shared" si="11"/>
        <v>4943240.2656000014</v>
      </c>
      <c r="H39" s="9">
        <f t="shared" si="11"/>
        <v>5240309.9931000015</v>
      </c>
    </row>
    <row r="40" spans="1:9" x14ac:dyDescent="0.35">
      <c r="A40" s="23" t="s">
        <v>73</v>
      </c>
      <c r="B40" s="25"/>
      <c r="C40" s="26">
        <f t="shared" si="8"/>
        <v>0</v>
      </c>
      <c r="D40" s="29">
        <f>D38+D39</f>
        <v>9989703.3600000013</v>
      </c>
      <c r="E40" s="29">
        <f t="shared" ref="E40:H40" si="12">E38+E39</f>
        <v>11607230.544</v>
      </c>
      <c r="F40" s="29">
        <f t="shared" si="12"/>
        <v>13360027.262400001</v>
      </c>
      <c r="G40" s="29">
        <f t="shared" si="12"/>
        <v>15281266.782600002</v>
      </c>
      <c r="H40" s="29">
        <f t="shared" si="12"/>
        <v>16053648.074100003</v>
      </c>
    </row>
    <row r="42" spans="1:9" x14ac:dyDescent="0.35">
      <c r="A42" s="32" t="s">
        <v>74</v>
      </c>
      <c r="B42" s="33"/>
      <c r="C42" s="34"/>
      <c r="D42" s="35">
        <f>D36+D40</f>
        <v>59938220.160000004</v>
      </c>
      <c r="E42" s="35">
        <f t="shared" ref="E42:I42" si="13">E36+E40</f>
        <v>69643383.263999999</v>
      </c>
      <c r="F42" s="35">
        <f t="shared" si="13"/>
        <v>80160163.574400008</v>
      </c>
      <c r="G42" s="35">
        <f t="shared" si="13"/>
        <v>91687600.695600003</v>
      </c>
      <c r="H42" s="35">
        <f t="shared" si="13"/>
        <v>96321888.444600031</v>
      </c>
      <c r="I42" s="9"/>
    </row>
    <row r="43" spans="1:9" x14ac:dyDescent="0.35">
      <c r="A43" s="37" t="s">
        <v>75</v>
      </c>
      <c r="B43" s="36"/>
      <c r="C43" s="38"/>
      <c r="D43" s="38"/>
      <c r="E43" s="39">
        <f>E42/D42-1</f>
        <v>0.16191944101931766</v>
      </c>
      <c r="F43" s="39">
        <f t="shared" ref="F43:H43" si="14">F42/E42-1</f>
        <v>0.15100903800916199</v>
      </c>
      <c r="G43" s="39">
        <f t="shared" si="14"/>
        <v>0.14380505985995029</v>
      </c>
      <c r="H43" s="39">
        <f t="shared" si="14"/>
        <v>5.0544323483670661E-2</v>
      </c>
    </row>
    <row r="45" spans="1:9" x14ac:dyDescent="0.35">
      <c r="A45" s="77" t="s">
        <v>183</v>
      </c>
      <c r="B45" s="78"/>
      <c r="C45" s="79"/>
      <c r="D45" s="79"/>
      <c r="E45" s="79"/>
      <c r="F45" s="79"/>
      <c r="G45" s="79"/>
      <c r="H45" s="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4389-2772-43F4-BA61-D58ABC655CC5}">
  <dimension ref="A1:H64"/>
  <sheetViews>
    <sheetView showGridLines="0" topLeftCell="A57" workbookViewId="0">
      <selection activeCell="A64" sqref="A64:H64"/>
    </sheetView>
  </sheetViews>
  <sheetFormatPr defaultRowHeight="14.5" x14ac:dyDescent="0.35"/>
  <cols>
    <col min="1" max="1" width="30.6328125" customWidth="1"/>
    <col min="2" max="2" width="12.6328125" customWidth="1"/>
    <col min="3" max="8" width="12.6328125" style="9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s="1" t="s">
        <v>126</v>
      </c>
    </row>
    <row r="4" spans="1:8" x14ac:dyDescent="0.35">
      <c r="A4" t="s">
        <v>127</v>
      </c>
      <c r="C4" s="9">
        <f>B7</f>
        <v>0</v>
      </c>
      <c r="D4" s="9">
        <f t="shared" ref="D4:H4" si="1">C7</f>
        <v>0</v>
      </c>
      <c r="E4" s="9">
        <f t="shared" si="1"/>
        <v>3000000</v>
      </c>
      <c r="F4" s="9">
        <f t="shared" si="1"/>
        <v>3000000</v>
      </c>
      <c r="G4" s="9">
        <f t="shared" si="1"/>
        <v>3000000</v>
      </c>
      <c r="H4" s="9">
        <f t="shared" si="1"/>
        <v>3000000</v>
      </c>
    </row>
    <row r="5" spans="1:8" x14ac:dyDescent="0.35">
      <c r="A5" t="s">
        <v>128</v>
      </c>
      <c r="D5" s="9">
        <f>Input!B18</f>
        <v>3000000</v>
      </c>
    </row>
    <row r="6" spans="1:8" x14ac:dyDescent="0.35">
      <c r="A6" t="s">
        <v>129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8" x14ac:dyDescent="0.35">
      <c r="A7" s="41" t="s">
        <v>130</v>
      </c>
      <c r="B7" s="42"/>
      <c r="C7" s="46">
        <f>C4+C5-C6</f>
        <v>0</v>
      </c>
      <c r="D7" s="47">
        <f t="shared" ref="D7:H7" si="2">D4+D5-D6</f>
        <v>3000000</v>
      </c>
      <c r="E7" s="47">
        <f t="shared" si="2"/>
        <v>3000000</v>
      </c>
      <c r="F7" s="47">
        <f t="shared" si="2"/>
        <v>3000000</v>
      </c>
      <c r="G7" s="47">
        <f t="shared" si="2"/>
        <v>3000000</v>
      </c>
      <c r="H7" s="47">
        <f t="shared" si="2"/>
        <v>3000000</v>
      </c>
    </row>
    <row r="8" spans="1:8" x14ac:dyDescent="0.35">
      <c r="A8" t="s">
        <v>131</v>
      </c>
      <c r="D8" s="9">
        <f>D7*Input!$B$27+C8</f>
        <v>150000</v>
      </c>
      <c r="E8" s="9">
        <f>E7*Input!$B$27+D8</f>
        <v>300000</v>
      </c>
      <c r="F8" s="9">
        <f>F7*Input!$B$27+E8</f>
        <v>450000</v>
      </c>
      <c r="G8" s="9">
        <f>G7*Input!$B$27+F8</f>
        <v>600000</v>
      </c>
      <c r="H8" s="9">
        <f>H7*Input!$B$27+G8</f>
        <v>750000</v>
      </c>
    </row>
    <row r="9" spans="1:8" x14ac:dyDescent="0.35">
      <c r="A9" s="41" t="s">
        <v>132</v>
      </c>
      <c r="B9" s="42"/>
      <c r="C9" s="46">
        <f>C7-C8</f>
        <v>0</v>
      </c>
      <c r="D9" s="47">
        <f t="shared" ref="D9:H9" si="3">D7-D8</f>
        <v>2850000</v>
      </c>
      <c r="E9" s="47">
        <f t="shared" si="3"/>
        <v>2700000</v>
      </c>
      <c r="F9" s="47">
        <f t="shared" si="3"/>
        <v>2550000</v>
      </c>
      <c r="G9" s="47">
        <f t="shared" si="3"/>
        <v>2400000</v>
      </c>
      <c r="H9" s="47">
        <f t="shared" si="3"/>
        <v>2250000</v>
      </c>
    </row>
    <row r="11" spans="1:8" x14ac:dyDescent="0.35">
      <c r="A11" s="57" t="s">
        <v>133</v>
      </c>
      <c r="D11" s="9">
        <f>D8-C8</f>
        <v>150000</v>
      </c>
      <c r="E11" s="9">
        <f t="shared" ref="E11:H11" si="4">E8-D8</f>
        <v>150000</v>
      </c>
      <c r="F11" s="9">
        <f t="shared" si="4"/>
        <v>150000</v>
      </c>
      <c r="G11" s="9">
        <f t="shared" si="4"/>
        <v>150000</v>
      </c>
      <c r="H11" s="9">
        <f t="shared" si="4"/>
        <v>150000</v>
      </c>
    </row>
    <row r="13" spans="1:8" x14ac:dyDescent="0.35">
      <c r="A13" s="1" t="s">
        <v>18</v>
      </c>
    </row>
    <row r="14" spans="1:8" x14ac:dyDescent="0.35">
      <c r="A14" t="s">
        <v>127</v>
      </c>
      <c r="C14" s="9">
        <f>B17</f>
        <v>0</v>
      </c>
      <c r="D14" s="9">
        <f t="shared" ref="D14:H14" si="5">C17</f>
        <v>0</v>
      </c>
      <c r="E14" s="9">
        <f t="shared" si="5"/>
        <v>1100000</v>
      </c>
      <c r="F14" s="9">
        <f t="shared" si="5"/>
        <v>1100000</v>
      </c>
      <c r="G14" s="9">
        <f t="shared" si="5"/>
        <v>1100000</v>
      </c>
      <c r="H14" s="9">
        <f t="shared" si="5"/>
        <v>1100000</v>
      </c>
    </row>
    <row r="15" spans="1:8" x14ac:dyDescent="0.35">
      <c r="A15" t="s">
        <v>128</v>
      </c>
      <c r="D15" s="9">
        <f>Input!B19</f>
        <v>1100000</v>
      </c>
    </row>
    <row r="16" spans="1:8" x14ac:dyDescent="0.35">
      <c r="A16" t="s">
        <v>129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</row>
    <row r="17" spans="1:8" x14ac:dyDescent="0.35">
      <c r="A17" s="41" t="s">
        <v>130</v>
      </c>
      <c r="B17" s="42"/>
      <c r="C17" s="46">
        <f>C14+C15-C16</f>
        <v>0</v>
      </c>
      <c r="D17" s="47">
        <f t="shared" ref="D17" si="6">D14+D15-D16</f>
        <v>1100000</v>
      </c>
      <c r="E17" s="47">
        <f t="shared" ref="E17" si="7">E14+E15-E16</f>
        <v>1100000</v>
      </c>
      <c r="F17" s="47">
        <f t="shared" ref="F17" si="8">F14+F15-F16</f>
        <v>1100000</v>
      </c>
      <c r="G17" s="47">
        <f t="shared" ref="G17" si="9">G14+G15-G16</f>
        <v>1100000</v>
      </c>
      <c r="H17" s="47">
        <f t="shared" ref="H17" si="10">H14+H15-H16</f>
        <v>1100000</v>
      </c>
    </row>
    <row r="18" spans="1:8" x14ac:dyDescent="0.35">
      <c r="A18" t="s">
        <v>131</v>
      </c>
      <c r="D18" s="9">
        <f>D17*Input!$B$28+'Fixed Assets'!C18</f>
        <v>110000</v>
      </c>
      <c r="E18" s="9">
        <f>E17*Input!$B$28+'Fixed Assets'!D18</f>
        <v>220000</v>
      </c>
      <c r="F18" s="9">
        <f>F17*Input!$B$28+'Fixed Assets'!E18</f>
        <v>330000</v>
      </c>
      <c r="G18" s="9">
        <f>G17*Input!$B$28+'Fixed Assets'!F18</f>
        <v>440000</v>
      </c>
      <c r="H18" s="9">
        <f>H17*Input!$B$28+'Fixed Assets'!G18</f>
        <v>550000</v>
      </c>
    </row>
    <row r="19" spans="1:8" x14ac:dyDescent="0.35">
      <c r="A19" s="41" t="s">
        <v>132</v>
      </c>
      <c r="B19" s="42"/>
      <c r="C19" s="46">
        <f>C17-C18</f>
        <v>0</v>
      </c>
      <c r="D19" s="47">
        <f t="shared" ref="D19" si="11">D17-D18</f>
        <v>990000</v>
      </c>
      <c r="E19" s="47">
        <f t="shared" ref="E19" si="12">E17-E18</f>
        <v>880000</v>
      </c>
      <c r="F19" s="47">
        <f t="shared" ref="F19" si="13">F17-F18</f>
        <v>770000</v>
      </c>
      <c r="G19" s="47">
        <f t="shared" ref="G19" si="14">G17-G18</f>
        <v>660000</v>
      </c>
      <c r="H19" s="47">
        <f t="shared" ref="H19" si="15">H17-H18</f>
        <v>550000</v>
      </c>
    </row>
    <row r="21" spans="1:8" x14ac:dyDescent="0.35">
      <c r="A21" s="57" t="s">
        <v>134</v>
      </c>
      <c r="D21" s="9">
        <f>D18-C18</f>
        <v>110000</v>
      </c>
      <c r="E21" s="9">
        <f t="shared" ref="E21:H21" si="16">E18-D18</f>
        <v>110000</v>
      </c>
      <c r="F21" s="9">
        <f t="shared" si="16"/>
        <v>110000</v>
      </c>
      <c r="G21" s="9">
        <f t="shared" si="16"/>
        <v>110000</v>
      </c>
      <c r="H21" s="9">
        <f t="shared" si="16"/>
        <v>110000</v>
      </c>
    </row>
    <row r="23" spans="1:8" x14ac:dyDescent="0.35">
      <c r="A23" s="1" t="s">
        <v>135</v>
      </c>
    </row>
    <row r="24" spans="1:8" x14ac:dyDescent="0.35">
      <c r="A24" t="s">
        <v>127</v>
      </c>
      <c r="C24" s="9">
        <f>B27</f>
        <v>0</v>
      </c>
      <c r="D24" s="9">
        <f t="shared" ref="D24:H24" si="17">C27</f>
        <v>0</v>
      </c>
      <c r="E24" s="9">
        <f t="shared" si="17"/>
        <v>5000000</v>
      </c>
      <c r="F24" s="9">
        <f t="shared" si="17"/>
        <v>5000000</v>
      </c>
      <c r="G24" s="9">
        <f t="shared" si="17"/>
        <v>5000000</v>
      </c>
      <c r="H24" s="9">
        <f t="shared" si="17"/>
        <v>5000000</v>
      </c>
    </row>
    <row r="25" spans="1:8" x14ac:dyDescent="0.35">
      <c r="A25" t="s">
        <v>128</v>
      </c>
      <c r="D25" s="9">
        <f>Input!B20</f>
        <v>5000000</v>
      </c>
    </row>
    <row r="26" spans="1:8" x14ac:dyDescent="0.35">
      <c r="A26" t="s">
        <v>129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x14ac:dyDescent="0.35">
      <c r="A27" s="41" t="s">
        <v>130</v>
      </c>
      <c r="B27" s="42"/>
      <c r="C27" s="46">
        <f>C24+C25-C26</f>
        <v>0</v>
      </c>
      <c r="D27" s="47">
        <f t="shared" ref="D27" si="18">D24+D25-D26</f>
        <v>5000000</v>
      </c>
      <c r="E27" s="47">
        <f t="shared" ref="E27" si="19">E24+E25-E26</f>
        <v>5000000</v>
      </c>
      <c r="F27" s="47">
        <f t="shared" ref="F27" si="20">F24+F25-F26</f>
        <v>5000000</v>
      </c>
      <c r="G27" s="47">
        <f t="shared" ref="G27" si="21">G24+G25-G26</f>
        <v>5000000</v>
      </c>
      <c r="H27" s="47">
        <f t="shared" ref="H27" si="22">H24+H25-H26</f>
        <v>5000000</v>
      </c>
    </row>
    <row r="28" spans="1:8" x14ac:dyDescent="0.35">
      <c r="A28" t="s">
        <v>131</v>
      </c>
      <c r="D28" s="9">
        <f>D27*Input!$B$29+'Fixed Assets'!C28</f>
        <v>500000</v>
      </c>
      <c r="E28" s="9">
        <f>E27*Input!$B$29+'Fixed Assets'!D28</f>
        <v>1000000</v>
      </c>
      <c r="F28" s="9">
        <f>F27*Input!$B$29+'Fixed Assets'!E28</f>
        <v>1500000</v>
      </c>
      <c r="G28" s="9">
        <f>G27*Input!$B$29+'Fixed Assets'!F28</f>
        <v>2000000</v>
      </c>
      <c r="H28" s="9">
        <f>H27*Input!$B$29+'Fixed Assets'!G28</f>
        <v>2500000</v>
      </c>
    </row>
    <row r="29" spans="1:8" x14ac:dyDescent="0.35">
      <c r="A29" s="41" t="s">
        <v>132</v>
      </c>
      <c r="B29" s="42"/>
      <c r="C29" s="46">
        <f>C27-C28</f>
        <v>0</v>
      </c>
      <c r="D29" s="47">
        <f t="shared" ref="D29" si="23">D27-D28</f>
        <v>4500000</v>
      </c>
      <c r="E29" s="47">
        <f t="shared" ref="E29" si="24">E27-E28</f>
        <v>4000000</v>
      </c>
      <c r="F29" s="47">
        <f t="shared" ref="F29" si="25">F27-F28</f>
        <v>3500000</v>
      </c>
      <c r="G29" s="47">
        <f t="shared" ref="G29" si="26">G27-G28</f>
        <v>3000000</v>
      </c>
      <c r="H29" s="47">
        <f t="shared" ref="H29" si="27">H27-H28</f>
        <v>2500000</v>
      </c>
    </row>
    <row r="31" spans="1:8" x14ac:dyDescent="0.35">
      <c r="A31" s="57" t="s">
        <v>136</v>
      </c>
      <c r="D31" s="9">
        <f>D28-C28</f>
        <v>500000</v>
      </c>
      <c r="E31" s="9">
        <f t="shared" ref="E31:H31" si="28">E28-D28</f>
        <v>500000</v>
      </c>
      <c r="F31" s="9">
        <f t="shared" si="28"/>
        <v>500000</v>
      </c>
      <c r="G31" s="9">
        <f t="shared" si="28"/>
        <v>500000</v>
      </c>
      <c r="H31" s="9">
        <f t="shared" si="28"/>
        <v>500000</v>
      </c>
    </row>
    <row r="33" spans="1:8" x14ac:dyDescent="0.35">
      <c r="A33" s="1" t="s">
        <v>141</v>
      </c>
    </row>
    <row r="34" spans="1:8" x14ac:dyDescent="0.35">
      <c r="A34" t="s">
        <v>127</v>
      </c>
      <c r="C34" s="9">
        <f>B37</f>
        <v>0</v>
      </c>
      <c r="D34" s="9">
        <f t="shared" ref="D34:H34" si="29">C37</f>
        <v>0</v>
      </c>
      <c r="E34" s="9">
        <f t="shared" si="29"/>
        <v>2000000</v>
      </c>
      <c r="F34" s="9">
        <f t="shared" si="29"/>
        <v>2000000</v>
      </c>
      <c r="G34" s="9">
        <f t="shared" si="29"/>
        <v>2000000</v>
      </c>
      <c r="H34" s="9">
        <f t="shared" si="29"/>
        <v>2000000</v>
      </c>
    </row>
    <row r="35" spans="1:8" x14ac:dyDescent="0.35">
      <c r="A35" t="s">
        <v>128</v>
      </c>
      <c r="D35" s="9">
        <f>Input!B21</f>
        <v>2000000</v>
      </c>
    </row>
    <row r="36" spans="1:8" x14ac:dyDescent="0.35">
      <c r="A36" t="s">
        <v>129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</row>
    <row r="37" spans="1:8" x14ac:dyDescent="0.35">
      <c r="A37" s="41" t="s">
        <v>130</v>
      </c>
      <c r="B37" s="42"/>
      <c r="C37" s="46">
        <f>C34+C35-C36</f>
        <v>0</v>
      </c>
      <c r="D37" s="47">
        <f t="shared" ref="D37" si="30">D34+D35-D36</f>
        <v>2000000</v>
      </c>
      <c r="E37" s="47">
        <f t="shared" ref="E37" si="31">E34+E35-E36</f>
        <v>2000000</v>
      </c>
      <c r="F37" s="47">
        <f t="shared" ref="F37" si="32">F34+F35-F36</f>
        <v>2000000</v>
      </c>
      <c r="G37" s="47">
        <f t="shared" ref="G37" si="33">G34+G35-G36</f>
        <v>2000000</v>
      </c>
      <c r="H37" s="47">
        <f t="shared" ref="H37" si="34">H34+H35-H36</f>
        <v>2000000</v>
      </c>
    </row>
    <row r="38" spans="1:8" x14ac:dyDescent="0.35">
      <c r="A38" t="s">
        <v>131</v>
      </c>
      <c r="D38" s="9">
        <f>D37*Input!$B$30+'Fixed Assets'!C38</f>
        <v>200000</v>
      </c>
      <c r="E38" s="9">
        <f>E37*Input!$B$30+'Fixed Assets'!D38</f>
        <v>400000</v>
      </c>
      <c r="F38" s="9">
        <f>F37*Input!$B$30+'Fixed Assets'!E38</f>
        <v>600000</v>
      </c>
      <c r="G38" s="9">
        <f>G37*Input!$B$30+'Fixed Assets'!F38</f>
        <v>800000</v>
      </c>
      <c r="H38" s="9">
        <f>H37*Input!$B$30+'Fixed Assets'!G38</f>
        <v>1000000</v>
      </c>
    </row>
    <row r="39" spans="1:8" x14ac:dyDescent="0.35">
      <c r="A39" s="41" t="s">
        <v>132</v>
      </c>
      <c r="B39" s="42"/>
      <c r="C39" s="46">
        <f>C37-C38</f>
        <v>0</v>
      </c>
      <c r="D39" s="47">
        <f t="shared" ref="D39" si="35">D37-D38</f>
        <v>1800000</v>
      </c>
      <c r="E39" s="47">
        <f t="shared" ref="E39" si="36">E37-E38</f>
        <v>1600000</v>
      </c>
      <c r="F39" s="47">
        <f t="shared" ref="F39" si="37">F37-F38</f>
        <v>1400000</v>
      </c>
      <c r="G39" s="47">
        <f t="shared" ref="G39" si="38">G37-G38</f>
        <v>1200000</v>
      </c>
      <c r="H39" s="47">
        <f t="shared" ref="H39" si="39">H37-H38</f>
        <v>1000000</v>
      </c>
    </row>
    <row r="41" spans="1:8" x14ac:dyDescent="0.35">
      <c r="A41" s="57" t="s">
        <v>140</v>
      </c>
      <c r="D41" s="9">
        <f>D38-C38</f>
        <v>200000</v>
      </c>
      <c r="E41" s="9">
        <f t="shared" ref="E41:H41" si="40">E38-D38</f>
        <v>200000</v>
      </c>
      <c r="F41" s="9">
        <f t="shared" si="40"/>
        <v>200000</v>
      </c>
      <c r="G41" s="9">
        <f t="shared" si="40"/>
        <v>200000</v>
      </c>
      <c r="H41" s="9">
        <f t="shared" si="40"/>
        <v>200000</v>
      </c>
    </row>
    <row r="43" spans="1:8" x14ac:dyDescent="0.35">
      <c r="A43" s="1" t="s">
        <v>139</v>
      </c>
    </row>
    <row r="44" spans="1:8" x14ac:dyDescent="0.35">
      <c r="A44" t="s">
        <v>127</v>
      </c>
      <c r="C44" s="9">
        <f>B47</f>
        <v>0</v>
      </c>
      <c r="D44" s="9">
        <f t="shared" ref="D44:H44" si="41">C47</f>
        <v>0</v>
      </c>
      <c r="E44" s="9">
        <f t="shared" si="41"/>
        <v>1000000</v>
      </c>
      <c r="F44" s="9">
        <f t="shared" si="41"/>
        <v>1000000</v>
      </c>
      <c r="G44" s="9">
        <f t="shared" si="41"/>
        <v>1000000</v>
      </c>
      <c r="H44" s="9">
        <f t="shared" si="41"/>
        <v>1000000</v>
      </c>
    </row>
    <row r="45" spans="1:8" x14ac:dyDescent="0.35">
      <c r="A45" t="s">
        <v>128</v>
      </c>
      <c r="D45" s="9">
        <f>Input!B22</f>
        <v>1000000</v>
      </c>
    </row>
    <row r="46" spans="1:8" x14ac:dyDescent="0.35">
      <c r="A46" t="s">
        <v>129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</row>
    <row r="47" spans="1:8" x14ac:dyDescent="0.35">
      <c r="A47" s="41" t="s">
        <v>130</v>
      </c>
      <c r="B47" s="42"/>
      <c r="C47" s="46">
        <f>C44+C45-C46</f>
        <v>0</v>
      </c>
      <c r="D47" s="46">
        <f t="shared" ref="D47" si="42">D44+D45-D46</f>
        <v>1000000</v>
      </c>
      <c r="E47" s="46">
        <f t="shared" ref="E47" si="43">E44+E45-E46</f>
        <v>1000000</v>
      </c>
      <c r="F47" s="46">
        <f t="shared" ref="F47" si="44">F44+F45-F46</f>
        <v>1000000</v>
      </c>
      <c r="G47" s="46">
        <f t="shared" ref="G47" si="45">G44+G45-G46</f>
        <v>1000000</v>
      </c>
      <c r="H47" s="46">
        <f t="shared" ref="H47" si="46">H44+H45-H46</f>
        <v>1000000</v>
      </c>
    </row>
    <row r="48" spans="1:8" x14ac:dyDescent="0.35">
      <c r="A48" t="s">
        <v>131</v>
      </c>
      <c r="D48" s="9">
        <f>D47*Input!$B$31+'Fixed Assets'!C48</f>
        <v>100000</v>
      </c>
      <c r="E48" s="9">
        <f>E47*Input!$B$31+'Fixed Assets'!D48</f>
        <v>200000</v>
      </c>
      <c r="F48" s="9">
        <f>F47*Input!$B$31+'Fixed Assets'!E48</f>
        <v>300000</v>
      </c>
      <c r="G48" s="9">
        <f>G47*Input!$B$31+'Fixed Assets'!F48</f>
        <v>400000</v>
      </c>
      <c r="H48" s="9">
        <f>H47*Input!$B$31+'Fixed Assets'!G48</f>
        <v>500000</v>
      </c>
    </row>
    <row r="49" spans="1:8" x14ac:dyDescent="0.35">
      <c r="A49" s="41" t="s">
        <v>132</v>
      </c>
      <c r="B49" s="42"/>
      <c r="C49" s="46">
        <f>C47-C48</f>
        <v>0</v>
      </c>
      <c r="D49" s="46">
        <f t="shared" ref="D49" si="47">D47-D48</f>
        <v>900000</v>
      </c>
      <c r="E49" s="46">
        <f t="shared" ref="E49" si="48">E47-E48</f>
        <v>800000</v>
      </c>
      <c r="F49" s="46">
        <f t="shared" ref="F49" si="49">F47-F48</f>
        <v>700000</v>
      </c>
      <c r="G49" s="46">
        <f t="shared" ref="G49" si="50">G47-G48</f>
        <v>600000</v>
      </c>
      <c r="H49" s="46">
        <f t="shared" ref="H49" si="51">H47-H48</f>
        <v>500000</v>
      </c>
    </row>
    <row r="51" spans="1:8" x14ac:dyDescent="0.35">
      <c r="A51" s="57" t="s">
        <v>138</v>
      </c>
      <c r="D51" s="9">
        <f>D48-C48</f>
        <v>100000</v>
      </c>
      <c r="E51" s="9">
        <f t="shared" ref="E51:H51" si="52">E48-D48</f>
        <v>100000</v>
      </c>
      <c r="F51" s="9">
        <f t="shared" si="52"/>
        <v>100000</v>
      </c>
      <c r="G51" s="9">
        <f t="shared" si="52"/>
        <v>100000</v>
      </c>
      <c r="H51" s="9">
        <f t="shared" si="52"/>
        <v>100000</v>
      </c>
    </row>
    <row r="53" spans="1:8" x14ac:dyDescent="0.35">
      <c r="A53" s="1" t="s">
        <v>22</v>
      </c>
    </row>
    <row r="54" spans="1:8" x14ac:dyDescent="0.35">
      <c r="A54" t="s">
        <v>127</v>
      </c>
      <c r="C54" s="9">
        <f>B57</f>
        <v>0</v>
      </c>
      <c r="D54" s="9">
        <f t="shared" ref="D54:H54" si="53">C57</f>
        <v>0</v>
      </c>
      <c r="E54" s="9">
        <f t="shared" si="53"/>
        <v>3500000</v>
      </c>
      <c r="F54" s="9">
        <f t="shared" si="53"/>
        <v>3500000</v>
      </c>
      <c r="G54" s="9">
        <f t="shared" si="53"/>
        <v>3500000</v>
      </c>
      <c r="H54" s="9">
        <f t="shared" si="53"/>
        <v>3500000</v>
      </c>
    </row>
    <row r="55" spans="1:8" x14ac:dyDescent="0.35">
      <c r="A55" t="s">
        <v>128</v>
      </c>
      <c r="D55" s="9">
        <f>Input!B23</f>
        <v>3500000</v>
      </c>
    </row>
    <row r="56" spans="1:8" x14ac:dyDescent="0.35">
      <c r="A56" t="s">
        <v>129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</row>
    <row r="57" spans="1:8" x14ac:dyDescent="0.35">
      <c r="A57" s="41" t="s">
        <v>130</v>
      </c>
      <c r="B57" s="42"/>
      <c r="C57" s="46">
        <f>C54+C55-C56</f>
        <v>0</v>
      </c>
      <c r="D57" s="47">
        <f t="shared" ref="D57" si="54">D54+D55-D56</f>
        <v>3500000</v>
      </c>
      <c r="E57" s="47">
        <f t="shared" ref="E57" si="55">E54+E55-E56</f>
        <v>3500000</v>
      </c>
      <c r="F57" s="47">
        <f t="shared" ref="F57" si="56">F54+F55-F56</f>
        <v>3500000</v>
      </c>
      <c r="G57" s="47">
        <f t="shared" ref="G57" si="57">G54+G55-G56</f>
        <v>3500000</v>
      </c>
      <c r="H57" s="47">
        <f t="shared" ref="H57" si="58">H54+H55-H56</f>
        <v>3500000</v>
      </c>
    </row>
    <row r="58" spans="1:8" x14ac:dyDescent="0.35">
      <c r="A58" t="s">
        <v>131</v>
      </c>
      <c r="D58" s="9">
        <f>D57*Input!$B$32+'Fixed Assets'!C58</f>
        <v>525000</v>
      </c>
      <c r="E58" s="9">
        <f>E57*Input!$B$32+'Fixed Assets'!D58</f>
        <v>1050000</v>
      </c>
      <c r="F58" s="9">
        <f>F57*Input!$B$32+'Fixed Assets'!E58</f>
        <v>1575000</v>
      </c>
      <c r="G58" s="9">
        <f>G57*Input!$B$32+'Fixed Assets'!F58</f>
        <v>2100000</v>
      </c>
      <c r="H58" s="9">
        <f>H57*Input!$B$32+'Fixed Assets'!G58</f>
        <v>2625000</v>
      </c>
    </row>
    <row r="59" spans="1:8" x14ac:dyDescent="0.35">
      <c r="A59" s="41" t="s">
        <v>132</v>
      </c>
      <c r="B59" s="42"/>
      <c r="C59" s="46">
        <f>C57-C58</f>
        <v>0</v>
      </c>
      <c r="D59" s="47">
        <f t="shared" ref="D59" si="59">D57-D58</f>
        <v>2975000</v>
      </c>
      <c r="E59" s="47">
        <f t="shared" ref="E59" si="60">E57-E58</f>
        <v>2450000</v>
      </c>
      <c r="F59" s="47">
        <f t="shared" ref="F59" si="61">F57-F58</f>
        <v>1925000</v>
      </c>
      <c r="G59" s="47">
        <f t="shared" ref="G59" si="62">G57-G58</f>
        <v>1400000</v>
      </c>
      <c r="H59" s="47">
        <f t="shared" ref="H59" si="63">H57-H58</f>
        <v>875000</v>
      </c>
    </row>
    <row r="61" spans="1:8" x14ac:dyDescent="0.35">
      <c r="A61" s="57" t="s">
        <v>137</v>
      </c>
      <c r="D61" s="9">
        <f>D58-C58</f>
        <v>525000</v>
      </c>
      <c r="E61" s="9">
        <f t="shared" ref="E61:H61" si="64">E58-D58</f>
        <v>525000</v>
      </c>
      <c r="F61" s="9">
        <f t="shared" si="64"/>
        <v>525000</v>
      </c>
      <c r="G61" s="9">
        <f t="shared" si="64"/>
        <v>525000</v>
      </c>
      <c r="H61" s="9">
        <f t="shared" si="64"/>
        <v>525000</v>
      </c>
    </row>
    <row r="64" spans="1:8" x14ac:dyDescent="0.35">
      <c r="A64" s="77" t="s">
        <v>183</v>
      </c>
      <c r="B64" s="78"/>
      <c r="C64" s="79"/>
      <c r="D64" s="79"/>
      <c r="E64" s="79"/>
      <c r="F64" s="79"/>
      <c r="G64" s="79"/>
      <c r="H64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CD8F-BCE7-4740-8A83-7C47F344353F}">
  <dimension ref="A1:H48"/>
  <sheetViews>
    <sheetView showGridLines="0" topLeftCell="A39" workbookViewId="0">
      <selection activeCell="A48" sqref="A48:H48"/>
    </sheetView>
  </sheetViews>
  <sheetFormatPr defaultRowHeight="14.5" x14ac:dyDescent="0.35"/>
  <cols>
    <col min="1" max="1" width="30.6328125" customWidth="1"/>
    <col min="2" max="2" width="12.6328125" customWidth="1"/>
    <col min="3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s="1" t="s">
        <v>76</v>
      </c>
    </row>
    <row r="4" spans="1:8" x14ac:dyDescent="0.35">
      <c r="A4" t="s">
        <v>46</v>
      </c>
      <c r="D4" s="9">
        <f>Revenue!D36</f>
        <v>49948516.800000004</v>
      </c>
      <c r="E4" s="9">
        <f>Revenue!E36</f>
        <v>58036152.719999999</v>
      </c>
      <c r="F4" s="9">
        <f>Revenue!F36</f>
        <v>66800136.312000014</v>
      </c>
      <c r="G4" s="9">
        <f>Revenue!G36</f>
        <v>76406333.913000003</v>
      </c>
      <c r="H4" s="9">
        <f>Revenue!H36</f>
        <v>80268240.370500028</v>
      </c>
    </row>
    <row r="5" spans="1:8" ht="15" thickBot="1" x14ac:dyDescent="0.4">
      <c r="A5" t="s">
        <v>47</v>
      </c>
      <c r="D5" s="9">
        <f>Revenue!D40</f>
        <v>9989703.3600000013</v>
      </c>
      <c r="E5" s="9">
        <f>Revenue!E40</f>
        <v>11607230.544</v>
      </c>
      <c r="F5" s="9">
        <f>Revenue!F40</f>
        <v>13360027.262400001</v>
      </c>
      <c r="G5" s="9">
        <f>Revenue!G40</f>
        <v>15281266.782600002</v>
      </c>
      <c r="H5" s="9">
        <f>Revenue!H40</f>
        <v>16053648.074100003</v>
      </c>
    </row>
    <row r="6" spans="1:8" x14ac:dyDescent="0.35">
      <c r="A6" s="23" t="s">
        <v>74</v>
      </c>
      <c r="B6" s="23"/>
      <c r="C6" s="29"/>
      <c r="D6" s="29">
        <f>SUM(D4:D5)</f>
        <v>59938220.160000004</v>
      </c>
      <c r="E6" s="29">
        <f t="shared" ref="E6:H6" si="1">SUM(E4:E5)</f>
        <v>69643383.263999999</v>
      </c>
      <c r="F6" s="29">
        <f t="shared" si="1"/>
        <v>80160163.574400008</v>
      </c>
      <c r="G6" s="29">
        <f t="shared" si="1"/>
        <v>91687600.695600003</v>
      </c>
      <c r="H6" s="29">
        <f t="shared" si="1"/>
        <v>96321888.444600031</v>
      </c>
    </row>
    <row r="8" spans="1:8" x14ac:dyDescent="0.35">
      <c r="A8" s="1" t="s">
        <v>77</v>
      </c>
    </row>
    <row r="9" spans="1:8" x14ac:dyDescent="0.35">
      <c r="A9" t="s">
        <v>78</v>
      </c>
      <c r="D9" s="9">
        <f>D6*Input!$B$66</f>
        <v>21577759.257600002</v>
      </c>
      <c r="E9" s="9">
        <f>E6*Input!$B$66</f>
        <v>25071617.97504</v>
      </c>
      <c r="F9" s="9">
        <f>F6*Input!$B$66</f>
        <v>28857658.886784002</v>
      </c>
      <c r="G9" s="9">
        <f>G6*Input!$B$66</f>
        <v>33007536.250415999</v>
      </c>
      <c r="H9" s="9">
        <f>H6*Input!$B$66</f>
        <v>34675879.84005601</v>
      </c>
    </row>
    <row r="10" spans="1:8" x14ac:dyDescent="0.35">
      <c r="A10" s="13" t="s">
        <v>79</v>
      </c>
      <c r="D10" s="9">
        <f>D5*Input!$B$68</f>
        <v>399588.13440000004</v>
      </c>
      <c r="E10" s="9">
        <f>E5*Input!$B$68</f>
        <v>464289.22175999999</v>
      </c>
      <c r="F10" s="9">
        <f>F5*Input!$B$68</f>
        <v>534401.09049600002</v>
      </c>
      <c r="G10" s="9">
        <f>G5*Input!$B$68</f>
        <v>611250.67130400008</v>
      </c>
      <c r="H10" s="9">
        <f>H5*Input!$B$68</f>
        <v>642145.92296400014</v>
      </c>
    </row>
    <row r="11" spans="1:8" x14ac:dyDescent="0.35">
      <c r="A11" s="41" t="s">
        <v>80</v>
      </c>
      <c r="B11" s="42"/>
      <c r="C11" s="46"/>
      <c r="D11" s="47">
        <f>SUM(D9:D10)</f>
        <v>21977347.392000001</v>
      </c>
      <c r="E11" s="47">
        <f t="shared" ref="E11:H11" si="2">SUM(E9:E10)</f>
        <v>25535907.196800001</v>
      </c>
      <c r="F11" s="47">
        <f t="shared" si="2"/>
        <v>29392059.977280002</v>
      </c>
      <c r="G11" s="47">
        <f t="shared" si="2"/>
        <v>33618786.921719998</v>
      </c>
      <c r="H11" s="47">
        <f t="shared" si="2"/>
        <v>35318025.763020009</v>
      </c>
    </row>
    <row r="12" spans="1:8" x14ac:dyDescent="0.35">
      <c r="A12" s="1" t="s">
        <v>81</v>
      </c>
      <c r="D12" s="11">
        <f>D6-D11</f>
        <v>37960872.768000007</v>
      </c>
      <c r="E12" s="11">
        <f t="shared" ref="E12:H12" si="3">E6-E11</f>
        <v>44107476.067199998</v>
      </c>
      <c r="F12" s="11">
        <f t="shared" si="3"/>
        <v>50768103.597120002</v>
      </c>
      <c r="G12" s="11">
        <f t="shared" si="3"/>
        <v>58068813.773880005</v>
      </c>
      <c r="H12" s="11">
        <f t="shared" si="3"/>
        <v>61003862.681580022</v>
      </c>
    </row>
    <row r="13" spans="1:8" x14ac:dyDescent="0.35">
      <c r="A13" s="43" t="s">
        <v>82</v>
      </c>
      <c r="B13" s="43"/>
      <c r="C13" s="44"/>
      <c r="D13" s="45">
        <f>D12/D6</f>
        <v>0.63333333333333341</v>
      </c>
      <c r="E13" s="45">
        <f t="shared" ref="E13:H13" si="4">E12/E6</f>
        <v>0.6333333333333333</v>
      </c>
      <c r="F13" s="45">
        <f t="shared" si="4"/>
        <v>0.6333333333333333</v>
      </c>
      <c r="G13" s="45">
        <f t="shared" si="4"/>
        <v>0.63333333333333341</v>
      </c>
      <c r="H13" s="45">
        <f t="shared" si="4"/>
        <v>0.6333333333333333</v>
      </c>
    </row>
    <row r="15" spans="1:8" x14ac:dyDescent="0.35">
      <c r="A15" s="1" t="s">
        <v>104</v>
      </c>
    </row>
    <row r="16" spans="1:8" x14ac:dyDescent="0.35">
      <c r="A16" t="s">
        <v>99</v>
      </c>
      <c r="D16" s="9">
        <f>D6*Input!$B$65</f>
        <v>4795057.6128000002</v>
      </c>
      <c r="E16" s="9">
        <f>E6*Input!$B$65</f>
        <v>5571470.6611200003</v>
      </c>
      <c r="F16" s="50">
        <f>F6*Input!$B$65</f>
        <v>6412813.0859520007</v>
      </c>
      <c r="G16" s="50">
        <f>G6*Input!$B$65</f>
        <v>7335008.055648</v>
      </c>
      <c r="H16" s="50">
        <f>H6*Input!$B$65</f>
        <v>7705751.0755680026</v>
      </c>
    </row>
    <row r="17" spans="1:8" x14ac:dyDescent="0.35">
      <c r="A17" t="s">
        <v>103</v>
      </c>
      <c r="D17" s="9">
        <f>D6*Input!$B$67</f>
        <v>3596293.2096000002</v>
      </c>
      <c r="E17" s="9">
        <f>E6*Input!$B$67</f>
        <v>4178602.99584</v>
      </c>
      <c r="F17" s="50">
        <f>F6*Input!$B$67</f>
        <v>4809609.8144640001</v>
      </c>
      <c r="G17" s="50">
        <f>G6*Input!$B$67</f>
        <v>5501256.0417360002</v>
      </c>
      <c r="H17" s="50">
        <f>H6*Input!$B$67</f>
        <v>5779313.3066760013</v>
      </c>
    </row>
    <row r="18" spans="1:8" x14ac:dyDescent="0.35">
      <c r="A18" t="s">
        <v>105</v>
      </c>
      <c r="D18" s="9">
        <f>IF(D$2&gt;Input!$B$15,MAX(C18*(1+Input!$B96),Input!$B91),0)</f>
        <v>2400000</v>
      </c>
      <c r="E18" s="9">
        <f>IF(E$2&gt;Input!$B$15,MAX(D18*(1+Input!$B96),Input!$B91),0)</f>
        <v>2520000</v>
      </c>
      <c r="F18" s="9">
        <f>IF(F$2&gt;Input!$B$15,MAX(E18*(1+Input!$B96),Input!$B91),0)</f>
        <v>2646000</v>
      </c>
      <c r="G18" s="9">
        <f>IF(G$2&gt;Input!$B$15,MAX(F18*(1+Input!$B96),Input!$B91),0)</f>
        <v>2778300</v>
      </c>
      <c r="H18" s="9">
        <f>IF(H$2&gt;Input!$B$15,MAX(G18*(1+Input!$B96),Input!$B91),0)</f>
        <v>2917215</v>
      </c>
    </row>
    <row r="19" spans="1:8" x14ac:dyDescent="0.35">
      <c r="A19" t="s">
        <v>106</v>
      </c>
      <c r="D19" s="9">
        <f>IF(D$2&gt;Input!$B$15,MAX(C19*(1+Input!$B97),Input!$B92),0)</f>
        <v>1200000</v>
      </c>
      <c r="E19" s="9">
        <f>IF(E$2&gt;Input!$B$15,MAX(D19*(1+Input!$B97),Input!$B92),0)</f>
        <v>1224000</v>
      </c>
      <c r="F19" s="9">
        <f>IF(F$2&gt;Input!$B$15,MAX(E19*(1+Input!$B97),Input!$B92),0)</f>
        <v>1248480</v>
      </c>
      <c r="G19" s="9">
        <f>IF(G$2&gt;Input!$B$15,MAX(F19*(1+Input!$B97),Input!$B92),0)</f>
        <v>1273449.6000000001</v>
      </c>
      <c r="H19" s="9">
        <f>IF(H$2&gt;Input!$B$15,MAX(G19*(1+Input!$B97),Input!$B92),0)</f>
        <v>1298918.5920000002</v>
      </c>
    </row>
    <row r="20" spans="1:8" x14ac:dyDescent="0.35">
      <c r="A20" t="s">
        <v>107</v>
      </c>
      <c r="D20" s="9">
        <f>IF(D$2&gt;Input!$B$15,MAX(C20*(1+Input!$B98),Input!$B93),0)</f>
        <v>600000</v>
      </c>
      <c r="E20" s="9">
        <f>IF(E$2&gt;Input!$B$15,MAX(D20*(1+Input!$B98),Input!$B93),0)</f>
        <v>618000</v>
      </c>
      <c r="F20" s="9">
        <f>IF(F$2&gt;Input!$B$15,MAX(E20*(1+Input!$B98),Input!$B93),0)</f>
        <v>636540</v>
      </c>
      <c r="G20" s="9">
        <f>IF(G$2&gt;Input!$B$15,MAX(F20*(1+Input!$B98),Input!$B93),0)</f>
        <v>655636.20000000007</v>
      </c>
      <c r="H20" s="9">
        <f>IF(H$2&gt;Input!$B$15,MAX(G20*(1+Input!$B98),Input!$B93),0)</f>
        <v>675305.28600000008</v>
      </c>
    </row>
    <row r="21" spans="1:8" x14ac:dyDescent="0.35">
      <c r="A21" t="s">
        <v>109</v>
      </c>
    </row>
    <row r="22" spans="1:8" x14ac:dyDescent="0.35">
      <c r="A22" s="48" t="s">
        <v>85</v>
      </c>
      <c r="D22" s="9">
        <f>IF(D$2&gt;Input!$B$15,Input!D72*Input!D84*Input!$B$89)</f>
        <v>960000</v>
      </c>
      <c r="E22" s="9">
        <f>IF(E$2&gt;Input!$B$15,Input!E72*Input!E84*Input!$B$89)</f>
        <v>1512000</v>
      </c>
      <c r="F22" s="9">
        <f>IF(F$2&gt;Input!$B$15,Input!F72*Input!F84*Input!$B$89)</f>
        <v>2116800</v>
      </c>
      <c r="G22" s="9">
        <f>IF(G$2&gt;Input!$B$15,Input!G72*Input!G84*Input!$B$89)</f>
        <v>2778300</v>
      </c>
      <c r="H22" s="50">
        <f>IF(H$2&gt;Input!$B$15,Input!H72*Input!H84*Input!$B$89)</f>
        <v>2917220</v>
      </c>
    </row>
    <row r="23" spans="1:8" x14ac:dyDescent="0.35">
      <c r="A23" s="48" t="s">
        <v>86</v>
      </c>
      <c r="D23" s="9">
        <f>IF(D$2&gt;Input!$B$15,Input!D73*Input!D85*Input!$B$89)</f>
        <v>11520000</v>
      </c>
      <c r="E23" s="9">
        <f>IF(E$2&gt;Input!$B$15,Input!E73*Input!E85*Input!$B$89)</f>
        <v>15408000</v>
      </c>
      <c r="F23" s="9">
        <f>IF(F$2&gt;Input!$B$15,Input!F73*Input!F85*Input!$B$89)</f>
        <v>16486560</v>
      </c>
      <c r="G23" s="9">
        <f>IF(G$2&gt;Input!$B$15,Input!G73*Input!G85*Input!$B$89)</f>
        <v>21168720</v>
      </c>
      <c r="H23" s="9">
        <f>IF(H$2&gt;Input!$B$15,Input!H73*Input!H85*Input!$B$89)</f>
        <v>22650576</v>
      </c>
    </row>
    <row r="24" spans="1:8" x14ac:dyDescent="0.35">
      <c r="A24" s="48" t="s">
        <v>87</v>
      </c>
      <c r="D24" s="9">
        <f>IF(D$2&gt;Input!$B$15,Input!D74*Input!D86*Input!$B$89)</f>
        <v>1440000</v>
      </c>
      <c r="E24" s="9">
        <f>IF(E$2&gt;Input!$B$15,Input!E74*Input!E86*Input!$B$89)</f>
        <v>1540800</v>
      </c>
      <c r="F24" s="9">
        <f>IF(F$2&gt;Input!$B$15,Input!F74*Input!F86*Input!$B$89)</f>
        <v>1648656</v>
      </c>
      <c r="G24" s="9">
        <f>IF(G$2&gt;Input!$B$15,Input!G74*Input!G86*Input!$B$89)</f>
        <v>1764062</v>
      </c>
      <c r="H24" s="9">
        <f>IF(H$2&gt;Input!$B$15,Input!H74*Input!H86*Input!$B$89)</f>
        <v>1887546</v>
      </c>
    </row>
    <row r="25" spans="1:8" x14ac:dyDescent="0.35">
      <c r="A25" s="48" t="s">
        <v>88</v>
      </c>
      <c r="D25" s="9">
        <f>IF(D$2&gt;Input!$B$15,Input!D75*Input!D87*Input!$B$89)</f>
        <v>2000000</v>
      </c>
      <c r="E25" s="9">
        <f>IF(E$2&gt;Input!$B$15,Input!E75*Input!E87*Input!$B$89)</f>
        <v>2140000</v>
      </c>
      <c r="F25" s="9">
        <f>IF(F$2&gt;Input!$B$15,Input!F75*Input!F87*Input!$B$89)</f>
        <v>2289800</v>
      </c>
      <c r="G25" s="9">
        <f>IF(G$2&gt;Input!$B$15,Input!G75*Input!G87*Input!$B$89)</f>
        <v>2450086</v>
      </c>
      <c r="H25" s="9">
        <f>IF(H$2&gt;Input!$B$15,Input!H75*Input!H87*Input!$B$89)</f>
        <v>2621592</v>
      </c>
    </row>
    <row r="26" spans="1:8" x14ac:dyDescent="0.35">
      <c r="A26" s="71" t="s">
        <v>110</v>
      </c>
      <c r="B26" s="41"/>
      <c r="C26" s="47"/>
      <c r="D26" s="47">
        <f>SUM(D16:D25)</f>
        <v>28511350.8224</v>
      </c>
      <c r="E26" s="47">
        <f t="shared" ref="E26:H26" si="5">SUM(E16:E25)</f>
        <v>34712873.656959996</v>
      </c>
      <c r="F26" s="47">
        <f t="shared" si="5"/>
        <v>38295258.900416002</v>
      </c>
      <c r="G26" s="47">
        <f t="shared" si="5"/>
        <v>45704817.897384003</v>
      </c>
      <c r="H26" s="47">
        <f t="shared" si="5"/>
        <v>48453437.260244004</v>
      </c>
    </row>
    <row r="27" spans="1:8" ht="15" thickBot="1" x14ac:dyDescent="0.4"/>
    <row r="28" spans="1:8" x14ac:dyDescent="0.35">
      <c r="A28" s="72" t="s">
        <v>111</v>
      </c>
      <c r="B28" s="25"/>
      <c r="C28" s="26"/>
      <c r="D28" s="29">
        <f>D12-D26</f>
        <v>9449521.9456000067</v>
      </c>
      <c r="E28" s="29">
        <f t="shared" ref="E28:H28" si="6">E12-E26</f>
        <v>9394602.410240002</v>
      </c>
      <c r="F28" s="29">
        <f t="shared" si="6"/>
        <v>12472844.696704</v>
      </c>
      <c r="G28" s="29">
        <f t="shared" si="6"/>
        <v>12363995.876496002</v>
      </c>
      <c r="H28" s="29">
        <f t="shared" si="6"/>
        <v>12550425.421336018</v>
      </c>
    </row>
    <row r="29" spans="1:8" x14ac:dyDescent="0.35">
      <c r="A29" s="52" t="s">
        <v>112</v>
      </c>
      <c r="B29" s="53"/>
      <c r="C29" s="54"/>
      <c r="D29" s="55">
        <f>D28/D6</f>
        <v>0.15765436344915329</v>
      </c>
      <c r="E29" s="55">
        <f t="shared" ref="E29:H29" si="7">E28/E6</f>
        <v>0.13489583604270777</v>
      </c>
      <c r="F29" s="55">
        <f t="shared" si="7"/>
        <v>0.15559904247360262</v>
      </c>
      <c r="G29" s="55">
        <f t="shared" si="7"/>
        <v>0.13484915934864614</v>
      </c>
      <c r="H29" s="55">
        <f t="shared" si="7"/>
        <v>0.1302967126579381</v>
      </c>
    </row>
    <row r="30" spans="1:8" x14ac:dyDescent="0.35">
      <c r="A30" s="37"/>
      <c r="B30" s="36"/>
      <c r="C30" s="38"/>
      <c r="D30" s="49"/>
      <c r="E30" s="49"/>
      <c r="F30" s="49"/>
      <c r="G30" s="49"/>
      <c r="H30" s="49"/>
    </row>
    <row r="31" spans="1:8" x14ac:dyDescent="0.35">
      <c r="A31" s="1" t="s">
        <v>113</v>
      </c>
    </row>
    <row r="32" spans="1:8" x14ac:dyDescent="0.35">
      <c r="A32" s="57" t="s">
        <v>133</v>
      </c>
      <c r="D32" s="50">
        <v>150000</v>
      </c>
      <c r="E32" s="9">
        <v>150000</v>
      </c>
      <c r="F32" s="9">
        <v>150000</v>
      </c>
      <c r="G32" s="9">
        <v>150000</v>
      </c>
      <c r="H32" s="9">
        <v>150000</v>
      </c>
    </row>
    <row r="33" spans="1:8" x14ac:dyDescent="0.35">
      <c r="A33" s="57" t="s">
        <v>134</v>
      </c>
      <c r="D33" s="50">
        <v>110000</v>
      </c>
      <c r="E33" s="9">
        <v>110000</v>
      </c>
      <c r="F33" s="9">
        <v>110000</v>
      </c>
      <c r="G33" s="9">
        <v>110000</v>
      </c>
      <c r="H33" s="9">
        <v>110000</v>
      </c>
    </row>
    <row r="34" spans="1:8" x14ac:dyDescent="0.35">
      <c r="A34" s="57" t="s">
        <v>136</v>
      </c>
      <c r="D34" s="50">
        <v>500000</v>
      </c>
      <c r="E34" s="9">
        <v>500000</v>
      </c>
      <c r="F34" s="9">
        <v>500000</v>
      </c>
      <c r="G34" s="9">
        <v>500000</v>
      </c>
      <c r="H34" s="9">
        <v>500000</v>
      </c>
    </row>
    <row r="35" spans="1:8" x14ac:dyDescent="0.35">
      <c r="A35" s="57" t="s">
        <v>140</v>
      </c>
      <c r="D35" s="50">
        <v>200000</v>
      </c>
      <c r="E35" s="9">
        <v>200000</v>
      </c>
      <c r="F35" s="9">
        <v>200000</v>
      </c>
      <c r="G35" s="9">
        <v>200000</v>
      </c>
      <c r="H35" s="9">
        <v>200000</v>
      </c>
    </row>
    <row r="36" spans="1:8" x14ac:dyDescent="0.35">
      <c r="A36" s="57" t="s">
        <v>138</v>
      </c>
      <c r="D36" s="50">
        <v>100000</v>
      </c>
      <c r="E36" s="9">
        <v>100000</v>
      </c>
      <c r="F36" s="9">
        <v>100000</v>
      </c>
      <c r="G36" s="9">
        <v>100000</v>
      </c>
      <c r="H36" s="9">
        <v>100000</v>
      </c>
    </row>
    <row r="37" spans="1:8" x14ac:dyDescent="0.35">
      <c r="A37" s="57" t="s">
        <v>137</v>
      </c>
      <c r="D37" s="50">
        <v>525000</v>
      </c>
      <c r="E37" s="9">
        <v>525000</v>
      </c>
      <c r="F37" s="9">
        <v>525000</v>
      </c>
      <c r="G37" s="9">
        <v>525000</v>
      </c>
      <c r="H37" s="9">
        <v>525000</v>
      </c>
    </row>
    <row r="38" spans="1:8" ht="15" thickBot="1" x14ac:dyDescent="0.4">
      <c r="A38" s="1"/>
    </row>
    <row r="39" spans="1:8" x14ac:dyDescent="0.35">
      <c r="A39" s="23" t="s">
        <v>114</v>
      </c>
      <c r="B39" s="25"/>
      <c r="C39" s="26"/>
      <c r="D39" s="29">
        <f>D28-SUM(D32:D37)</f>
        <v>7864521.9456000067</v>
      </c>
      <c r="E39" s="29">
        <f t="shared" ref="E39:H39" si="8">E28-SUM(E32:E37)</f>
        <v>7809602.410240002</v>
      </c>
      <c r="F39" s="29">
        <f t="shared" si="8"/>
        <v>10887844.696704</v>
      </c>
      <c r="G39" s="29">
        <f t="shared" si="8"/>
        <v>10778995.876496002</v>
      </c>
      <c r="H39" s="29">
        <f t="shared" si="8"/>
        <v>10965425.421336018</v>
      </c>
    </row>
    <row r="40" spans="1:8" x14ac:dyDescent="0.35">
      <c r="A40" t="s">
        <v>115</v>
      </c>
    </row>
    <row r="41" spans="1:8" ht="15" thickBot="1" x14ac:dyDescent="0.4"/>
    <row r="42" spans="1:8" x14ac:dyDescent="0.35">
      <c r="A42" s="23" t="s">
        <v>116</v>
      </c>
      <c r="B42" s="25"/>
      <c r="C42" s="26"/>
      <c r="D42" s="29">
        <f>D39-D40</f>
        <v>7864521.9456000067</v>
      </c>
      <c r="E42" s="29">
        <f>E39-E40</f>
        <v>7809602.410240002</v>
      </c>
      <c r="F42" s="29">
        <f>F39-F40</f>
        <v>10887844.696704</v>
      </c>
      <c r="G42" s="29">
        <f>G39-G40</f>
        <v>10778995.876496002</v>
      </c>
      <c r="H42" s="29">
        <f>H39-H40</f>
        <v>10965425.421336018</v>
      </c>
    </row>
    <row r="43" spans="1:8" x14ac:dyDescent="0.35">
      <c r="A43" t="s">
        <v>117</v>
      </c>
      <c r="D43" s="9">
        <f>D42*Input!$B$12</f>
        <v>1979500.1737075215</v>
      </c>
      <c r="E43" s="9">
        <f>E42*Input!$B$12</f>
        <v>1965676.9266574082</v>
      </c>
      <c r="F43" s="9">
        <f>F42*Input!$B$12</f>
        <v>2740470.5101603968</v>
      </c>
      <c r="G43" s="9">
        <f>G42*Input!$B$12</f>
        <v>2713073.2621140433</v>
      </c>
      <c r="H43" s="9">
        <f>H42*Input!$B$12</f>
        <v>2759997.5785502754</v>
      </c>
    </row>
    <row r="45" spans="1:8" x14ac:dyDescent="0.35">
      <c r="A45" s="32" t="s">
        <v>124</v>
      </c>
      <c r="B45" s="33"/>
      <c r="C45" s="34"/>
      <c r="D45" s="34">
        <f>D42-D43</f>
        <v>5885021.7718924852</v>
      </c>
      <c r="E45" s="34">
        <f t="shared" ref="E45:H45" si="9">E42-E43</f>
        <v>5843925.4835825935</v>
      </c>
      <c r="F45" s="34">
        <f t="shared" si="9"/>
        <v>8147374.1865436034</v>
      </c>
      <c r="G45" s="34">
        <f t="shared" si="9"/>
        <v>8065922.6143819587</v>
      </c>
      <c r="H45" s="34">
        <f t="shared" si="9"/>
        <v>8205427.8427857421</v>
      </c>
    </row>
    <row r="46" spans="1:8" x14ac:dyDescent="0.35">
      <c r="A46" s="52" t="s">
        <v>125</v>
      </c>
      <c r="B46" s="53"/>
      <c r="C46" s="54"/>
      <c r="D46" s="55">
        <f>D45/D6</f>
        <v>9.8184793545469287E-2</v>
      </c>
      <c r="E46" s="55">
        <f>E45/E6</f>
        <v>8.3912142255205893E-2</v>
      </c>
      <c r="F46" s="55">
        <f>F45/F6</f>
        <v>0.10163869212893614</v>
      </c>
      <c r="G46" s="55">
        <f>G45/G6</f>
        <v>8.7971792839912702E-2</v>
      </c>
      <c r="H46" s="55">
        <f>H45/H6</f>
        <v>8.5187572370999873E-2</v>
      </c>
    </row>
    <row r="48" spans="1:8" x14ac:dyDescent="0.35">
      <c r="A48" s="77" t="s">
        <v>183</v>
      </c>
      <c r="B48" s="78"/>
      <c r="C48" s="79"/>
      <c r="D48" s="79"/>
      <c r="E48" s="79"/>
      <c r="F48" s="79"/>
      <c r="G48" s="79"/>
      <c r="H48" s="7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B0A4-9501-42B9-9EC8-3954CB5A8CB3}">
  <dimension ref="A1:H31"/>
  <sheetViews>
    <sheetView showGridLines="0" topLeftCell="A15" workbookViewId="0">
      <selection activeCell="E9" sqref="E9"/>
    </sheetView>
  </sheetViews>
  <sheetFormatPr defaultRowHeight="14.5" x14ac:dyDescent="0.35"/>
  <cols>
    <col min="1" max="1" width="30.6328125" customWidth="1"/>
    <col min="2" max="2" width="12.6328125" customWidth="1"/>
    <col min="3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s="1" t="s">
        <v>142</v>
      </c>
    </row>
    <row r="4" spans="1:8" x14ac:dyDescent="0.35">
      <c r="A4" s="1" t="s">
        <v>143</v>
      </c>
    </row>
    <row r="5" spans="1:8" x14ac:dyDescent="0.35">
      <c r="A5" t="s">
        <v>144</v>
      </c>
      <c r="D5" s="9">
        <f>Input!B24</f>
        <v>15600000</v>
      </c>
      <c r="E5" s="9">
        <f>D5</f>
        <v>15600000</v>
      </c>
      <c r="F5" s="9">
        <f t="shared" ref="F5:H5" si="1">E5</f>
        <v>15600000</v>
      </c>
      <c r="G5" s="9">
        <f t="shared" si="1"/>
        <v>15600000</v>
      </c>
      <c r="H5" s="9">
        <f t="shared" si="1"/>
        <v>15600000</v>
      </c>
    </row>
    <row r="6" spans="1:8" ht="15" thickBot="1" x14ac:dyDescent="0.4">
      <c r="A6" t="s">
        <v>146</v>
      </c>
      <c r="D6" s="9">
        <f>'P&amp;L'!D45</f>
        <v>5885021.7718924852</v>
      </c>
      <c r="E6" s="9">
        <f>'P&amp;L'!E45+D6</f>
        <v>11728947.255475078</v>
      </c>
      <c r="F6" s="9">
        <f>'P&amp;L'!F45+E6</f>
        <v>19876321.44201868</v>
      </c>
      <c r="G6" s="9">
        <f>'P&amp;L'!G45+F6</f>
        <v>27942244.056400638</v>
      </c>
      <c r="H6" s="9">
        <f>'P&amp;L'!H45+G6</f>
        <v>36147671.89918638</v>
      </c>
    </row>
    <row r="7" spans="1:8" x14ac:dyDescent="0.35">
      <c r="A7" s="23" t="s">
        <v>147</v>
      </c>
      <c r="B7" s="25"/>
      <c r="C7" s="26"/>
      <c r="D7" s="26">
        <f>SUM(D5:D6)</f>
        <v>21485021.771892484</v>
      </c>
      <c r="E7" s="26">
        <f t="shared" ref="E7:H7" si="2">SUM(E5:E6)</f>
        <v>27328947.255475078</v>
      </c>
      <c r="F7" s="26">
        <f t="shared" si="2"/>
        <v>35476321.44201868</v>
      </c>
      <c r="G7" s="26">
        <f t="shared" si="2"/>
        <v>43542244.056400642</v>
      </c>
      <c r="H7" s="26">
        <f t="shared" si="2"/>
        <v>51747671.89918638</v>
      </c>
    </row>
    <row r="9" spans="1:8" x14ac:dyDescent="0.35">
      <c r="A9" s="1" t="s">
        <v>145</v>
      </c>
    </row>
    <row r="10" spans="1:8" x14ac:dyDescent="0.35">
      <c r="A10" s="1" t="s">
        <v>149</v>
      </c>
    </row>
    <row r="11" spans="1:8" x14ac:dyDescent="0.35">
      <c r="A11" t="s">
        <v>148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3" spans="1:8" x14ac:dyDescent="0.35">
      <c r="A13" s="1" t="s">
        <v>150</v>
      </c>
    </row>
    <row r="14" spans="1:8" x14ac:dyDescent="0.35">
      <c r="A14" t="s">
        <v>151</v>
      </c>
      <c r="D14" s="9">
        <f>'P&amp;L'!D26/365*Input!$B$100</f>
        <v>2343398.6977315065</v>
      </c>
      <c r="E14" s="9">
        <f>'P&amp;L'!E26/365*Input!$B$100</f>
        <v>2853112.9033117802</v>
      </c>
      <c r="F14" s="9">
        <f>'P&amp;L'!F26/365*Input!$B$100</f>
        <v>3147555.5260615889</v>
      </c>
      <c r="G14" s="9">
        <f>'P&amp;L'!G26/365*Input!$B$100</f>
        <v>3756560.375127452</v>
      </c>
      <c r="H14" s="9">
        <f>'P&amp;L'!H26/365*Input!$B$100</f>
        <v>3982474.295362521</v>
      </c>
    </row>
    <row r="15" spans="1:8" x14ac:dyDescent="0.35">
      <c r="A15" s="1" t="s">
        <v>152</v>
      </c>
      <c r="D15" s="9">
        <f>D11+D14</f>
        <v>2343398.6977315065</v>
      </c>
      <c r="E15" s="9">
        <f t="shared" ref="E15:H15" si="3">E11+E14</f>
        <v>2853112.9033117802</v>
      </c>
      <c r="F15" s="9">
        <f t="shared" si="3"/>
        <v>3147555.5260615889</v>
      </c>
      <c r="G15" s="9">
        <f t="shared" si="3"/>
        <v>3756560.375127452</v>
      </c>
      <c r="H15" s="9">
        <f t="shared" si="3"/>
        <v>3982474.295362521</v>
      </c>
    </row>
    <row r="16" spans="1:8" x14ac:dyDescent="0.35">
      <c r="A16" s="41" t="s">
        <v>23</v>
      </c>
      <c r="B16" s="42"/>
      <c r="C16" s="46"/>
      <c r="D16" s="46">
        <f>D7+D15</f>
        <v>23828420.46962399</v>
      </c>
      <c r="E16" s="46">
        <f t="shared" ref="E16:H16" si="4">E7+E15</f>
        <v>30182060.158786859</v>
      </c>
      <c r="F16" s="46">
        <f t="shared" si="4"/>
        <v>38623876.968080267</v>
      </c>
      <c r="G16" s="46">
        <f t="shared" si="4"/>
        <v>47298804.431528091</v>
      </c>
      <c r="H16" s="46">
        <f t="shared" si="4"/>
        <v>55730146.194548905</v>
      </c>
    </row>
    <row r="18" spans="1:8" x14ac:dyDescent="0.35">
      <c r="A18" s="56" t="s">
        <v>153</v>
      </c>
    </row>
    <row r="19" spans="1:8" x14ac:dyDescent="0.35">
      <c r="A19" s="56" t="s">
        <v>179</v>
      </c>
    </row>
    <row r="20" spans="1:8" ht="15" thickBot="1" x14ac:dyDescent="0.4">
      <c r="A20" s="56" t="s">
        <v>154</v>
      </c>
    </row>
    <row r="21" spans="1:8" x14ac:dyDescent="0.35">
      <c r="A21" s="23" t="s">
        <v>130</v>
      </c>
      <c r="B21" s="25"/>
      <c r="C21" s="26"/>
      <c r="D21" s="26">
        <f ca="1">SUMIF('Fixed Assets'!$A$1:$H$61,'Balance Sheet'!$A21,'Fixed Assets'!D1:D$61)</f>
        <v>15600000</v>
      </c>
      <c r="E21" s="26">
        <f ca="1">SUMIF('Fixed Assets'!$A$1:$H$61,'Balance Sheet'!$A21,'Fixed Assets'!E1:E$61)</f>
        <v>15600000</v>
      </c>
      <c r="F21" s="26">
        <f ca="1">SUMIF('Fixed Assets'!$A$1:$H$61,'Balance Sheet'!$A21,'Fixed Assets'!F1:F$61)</f>
        <v>15600000</v>
      </c>
      <c r="G21" s="26">
        <f ca="1">SUMIF('Fixed Assets'!$A$1:$H$61,'Balance Sheet'!$A21,'Fixed Assets'!G1:G$61)</f>
        <v>15600000</v>
      </c>
      <c r="H21" s="26">
        <f ca="1">SUMIF('Fixed Assets'!$A$1:$H$61,'Balance Sheet'!$A21,'Fixed Assets'!H1:H$61)</f>
        <v>15600000</v>
      </c>
    </row>
    <row r="22" spans="1:8" ht="15" thickBot="1" x14ac:dyDescent="0.4">
      <c r="A22" s="27" t="s">
        <v>131</v>
      </c>
      <c r="B22" s="27"/>
      <c r="C22" s="28"/>
      <c r="D22" s="28">
        <f ca="1">SUMIF('Fixed Assets'!$A$1:$H$61,'Balance Sheet'!$A22,'Fixed Assets'!D$1:D$61)</f>
        <v>1585000</v>
      </c>
      <c r="E22" s="28">
        <f ca="1">SUMIF('Fixed Assets'!$A$1:$H$61,'Balance Sheet'!$A22,'Fixed Assets'!E$1:E$61)</f>
        <v>3170000</v>
      </c>
      <c r="F22" s="28">
        <f ca="1">SUMIF('Fixed Assets'!$A$1:$H$61,'Balance Sheet'!$A22,'Fixed Assets'!F$1:F$61)</f>
        <v>4755000</v>
      </c>
      <c r="G22" s="28">
        <f ca="1">SUMIF('Fixed Assets'!$A$1:$H$61,'Balance Sheet'!$A22,'Fixed Assets'!G$1:G$61)</f>
        <v>6340000</v>
      </c>
      <c r="H22" s="28">
        <f ca="1">SUMIF('Fixed Assets'!$A$1:$H$61,'Balance Sheet'!$A22,'Fixed Assets'!H$1:H$61)</f>
        <v>7925000</v>
      </c>
    </row>
    <row r="23" spans="1:8" x14ac:dyDescent="0.35">
      <c r="A23" s="67" t="s">
        <v>132</v>
      </c>
      <c r="D23" s="11">
        <f ca="1">D21-D22</f>
        <v>14015000</v>
      </c>
      <c r="E23" s="11">
        <f t="shared" ref="E23:H23" ca="1" si="5">E21-E22</f>
        <v>12430000</v>
      </c>
      <c r="F23" s="11">
        <f t="shared" ca="1" si="5"/>
        <v>10845000</v>
      </c>
      <c r="G23" s="11">
        <f t="shared" ca="1" si="5"/>
        <v>9260000</v>
      </c>
      <c r="H23" s="11">
        <f t="shared" ca="1" si="5"/>
        <v>7675000</v>
      </c>
    </row>
    <row r="25" spans="1:8" x14ac:dyDescent="0.35">
      <c r="A25" t="s">
        <v>155</v>
      </c>
    </row>
    <row r="26" spans="1:8" x14ac:dyDescent="0.35">
      <c r="A26" t="s">
        <v>156</v>
      </c>
      <c r="D26" s="9">
        <f>'P&amp;L'!D9/365*Input!$B$101</f>
        <v>413820.04055671237</v>
      </c>
      <c r="E26" s="9">
        <f>'P&amp;L'!E9/365*Input!$B$101</f>
        <v>480825.55020624661</v>
      </c>
      <c r="F26" s="9">
        <f>'P&amp;L'!F9/365*Input!$B$101</f>
        <v>553434.55399311788</v>
      </c>
      <c r="G26" s="9">
        <f>'P&amp;L'!G9/365*Input!$B$101</f>
        <v>633021.24315866304</v>
      </c>
      <c r="H26" s="9">
        <f>'P&amp;L'!H9/365*Input!$B$101</f>
        <v>665016.87364490971</v>
      </c>
    </row>
    <row r="27" spans="1:8" x14ac:dyDescent="0.35">
      <c r="A27" t="s">
        <v>157</v>
      </c>
      <c r="D27" s="9">
        <f>Cashflow!D27</f>
        <v>9399600.4290672801</v>
      </c>
      <c r="E27" s="9">
        <f>Cashflow!E27</f>
        <v>17271234.608580612</v>
      </c>
      <c r="F27" s="9">
        <f>Cashflow!F27</f>
        <v>27225442.414087154</v>
      </c>
      <c r="G27" s="9">
        <f>Cashflow!G27</f>
        <v>37405783.188369431</v>
      </c>
      <c r="H27" s="9">
        <f>Cashflow!H27</f>
        <v>47390129.320903994</v>
      </c>
    </row>
    <row r="28" spans="1:8" ht="15" thickBot="1" x14ac:dyDescent="0.4">
      <c r="A28" s="59" t="s">
        <v>23</v>
      </c>
      <c r="B28" s="60"/>
      <c r="C28" s="61"/>
      <c r="D28" s="61">
        <f ca="1">D23+D26+D27</f>
        <v>23828420.46962399</v>
      </c>
      <c r="E28" s="61">
        <f t="shared" ref="E28:H28" ca="1" si="6">E23+E26+E27</f>
        <v>30182060.158786856</v>
      </c>
      <c r="F28" s="61">
        <f t="shared" ca="1" si="6"/>
        <v>38623876.968080267</v>
      </c>
      <c r="G28" s="61">
        <f t="shared" ca="1" si="6"/>
        <v>47298804.431528091</v>
      </c>
      <c r="H28" s="61">
        <f t="shared" ca="1" si="6"/>
        <v>55730146.194548905</v>
      </c>
    </row>
    <row r="29" spans="1:8" x14ac:dyDescent="0.35">
      <c r="A29" s="62" t="s">
        <v>158</v>
      </c>
      <c r="B29" s="62"/>
      <c r="C29" s="63">
        <f>C28-C16</f>
        <v>0</v>
      </c>
      <c r="D29" s="63">
        <f t="shared" ref="D29:H29" ca="1" si="7">D28-D16</f>
        <v>0</v>
      </c>
      <c r="E29" s="63">
        <f t="shared" ca="1" si="7"/>
        <v>0</v>
      </c>
      <c r="F29" s="63">
        <f t="shared" ca="1" si="7"/>
        <v>0</v>
      </c>
      <c r="G29" s="63">
        <f t="shared" ca="1" si="7"/>
        <v>0</v>
      </c>
      <c r="H29" s="63">
        <f t="shared" ca="1" si="7"/>
        <v>0</v>
      </c>
    </row>
    <row r="31" spans="1:8" x14ac:dyDescent="0.35">
      <c r="A31" s="77" t="s">
        <v>183</v>
      </c>
      <c r="B31" s="78"/>
      <c r="C31" s="79"/>
      <c r="D31" s="79"/>
      <c r="E31" s="79"/>
      <c r="F31" s="79"/>
      <c r="G31" s="79"/>
      <c r="H31" s="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6ADF-2C71-468E-9606-7FEFEE9770E7}">
  <dimension ref="A1:H29"/>
  <sheetViews>
    <sheetView showGridLines="0" topLeftCell="A19" workbookViewId="0">
      <selection activeCell="A29" sqref="A29:H29"/>
    </sheetView>
  </sheetViews>
  <sheetFormatPr defaultRowHeight="14.5" x14ac:dyDescent="0.35"/>
  <cols>
    <col min="1" max="1" width="30.6328125" customWidth="1"/>
    <col min="2" max="2" width="18.08984375" customWidth="1"/>
    <col min="3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G2:H2" si="0">EOMONTH(F2,12)</f>
        <v>47208</v>
      </c>
      <c r="H2" s="8">
        <f t="shared" si="0"/>
        <v>47573</v>
      </c>
    </row>
    <row r="3" spans="1:8" x14ac:dyDescent="0.35">
      <c r="A3" s="1" t="s">
        <v>159</v>
      </c>
    </row>
    <row r="4" spans="1:8" x14ac:dyDescent="0.35">
      <c r="A4" s="1" t="s">
        <v>124</v>
      </c>
      <c r="D4" s="9">
        <f>'P&amp;L'!D45</f>
        <v>5885021.7718924852</v>
      </c>
      <c r="E4" s="9">
        <f>'P&amp;L'!E45</f>
        <v>5843925.4835825935</v>
      </c>
      <c r="F4" s="9">
        <f>'P&amp;L'!F45</f>
        <v>8147374.1865436034</v>
      </c>
      <c r="G4" s="9">
        <f>'P&amp;L'!G45</f>
        <v>8065922.6143819587</v>
      </c>
      <c r="H4" s="9">
        <f>'P&amp;L'!H45</f>
        <v>8205427.8427857421</v>
      </c>
    </row>
    <row r="5" spans="1:8" x14ac:dyDescent="0.35">
      <c r="A5" t="s">
        <v>165</v>
      </c>
    </row>
    <row r="6" spans="1:8" x14ac:dyDescent="0.35">
      <c r="A6" t="s">
        <v>113</v>
      </c>
      <c r="D6" s="9">
        <f>SUM('P&amp;L'!D32:D37)</f>
        <v>1585000</v>
      </c>
      <c r="E6" s="9">
        <f>SUM('P&amp;L'!E32:E37)</f>
        <v>1585000</v>
      </c>
      <c r="F6" s="9">
        <f>SUM('P&amp;L'!F32:F37)</f>
        <v>1585000</v>
      </c>
      <c r="G6" s="9">
        <f>SUM('P&amp;L'!G32:G37)</f>
        <v>1585000</v>
      </c>
      <c r="H6" s="9">
        <f>SUM('P&amp;L'!H32:H37)</f>
        <v>1585000</v>
      </c>
    </row>
    <row r="7" spans="1:8" x14ac:dyDescent="0.35">
      <c r="A7" s="32" t="s">
        <v>182</v>
      </c>
      <c r="B7" s="32"/>
      <c r="C7" s="35"/>
      <c r="D7" s="35">
        <f>D4+D6</f>
        <v>7470021.7718924852</v>
      </c>
      <c r="E7" s="35">
        <f t="shared" ref="E7:H7" si="1">E4+E6</f>
        <v>7428925.4835825935</v>
      </c>
      <c r="F7" s="35">
        <f t="shared" si="1"/>
        <v>9732374.1865436025</v>
      </c>
      <c r="G7" s="35">
        <f t="shared" si="1"/>
        <v>9650922.6143819578</v>
      </c>
      <c r="H7" s="35">
        <f t="shared" si="1"/>
        <v>9790427.8427857421</v>
      </c>
    </row>
    <row r="8" spans="1:8" x14ac:dyDescent="0.35">
      <c r="A8" t="s">
        <v>167</v>
      </c>
      <c r="D8" s="9">
        <f>-('Balance Sheet'!D26-'Balance Sheet'!C26)</f>
        <v>-413820.04055671237</v>
      </c>
      <c r="E8" s="9">
        <f>-('Balance Sheet'!E26-'Balance Sheet'!D26)</f>
        <v>-67005.509649534244</v>
      </c>
      <c r="F8" s="9">
        <f>-('Balance Sheet'!F26-'Balance Sheet'!E26)</f>
        <v>-72609.003786871268</v>
      </c>
      <c r="G8" s="9">
        <f>-('Balance Sheet'!G26-'Balance Sheet'!F26)</f>
        <v>-79586.689165545162</v>
      </c>
      <c r="H8" s="9">
        <f>-('Balance Sheet'!H26-'Balance Sheet'!G26)</f>
        <v>-31995.630486246664</v>
      </c>
    </row>
    <row r="9" spans="1:8" x14ac:dyDescent="0.35">
      <c r="A9" t="s">
        <v>166</v>
      </c>
      <c r="D9" s="9">
        <f>('Balance Sheet'!D14-'Balance Sheet'!C14)</f>
        <v>2343398.6977315065</v>
      </c>
      <c r="E9" s="9">
        <f>('Balance Sheet'!E14-'Balance Sheet'!D14)</f>
        <v>509714.20558027364</v>
      </c>
      <c r="F9" s="9">
        <f>('Balance Sheet'!F14-'Balance Sheet'!E14)</f>
        <v>294442.62274980871</v>
      </c>
      <c r="G9" s="9">
        <f>('Balance Sheet'!G14-'Balance Sheet'!F14)</f>
        <v>609004.84906586306</v>
      </c>
      <c r="H9" s="9">
        <f>('Balance Sheet'!H14-'Balance Sheet'!G14)</f>
        <v>225913.920235069</v>
      </c>
    </row>
    <row r="10" spans="1:8" x14ac:dyDescent="0.35">
      <c r="A10" s="32" t="s">
        <v>181</v>
      </c>
      <c r="B10" s="33"/>
      <c r="C10" s="34"/>
      <c r="D10" s="35">
        <f>D7+D8+D9</f>
        <v>9399600.4290672801</v>
      </c>
      <c r="E10" s="35">
        <f>E7+E8+E9</f>
        <v>7871634.1795133334</v>
      </c>
      <c r="F10" s="35">
        <f>F7+F8+F9</f>
        <v>9954207.8055065405</v>
      </c>
      <c r="G10" s="35">
        <f>G7+G8+G9</f>
        <v>10180340.774282275</v>
      </c>
      <c r="H10" s="35">
        <f>H7+H8+H9</f>
        <v>9984346.1325345654</v>
      </c>
    </row>
    <row r="12" spans="1:8" x14ac:dyDescent="0.35">
      <c r="A12" s="1" t="s">
        <v>161</v>
      </c>
    </row>
    <row r="13" spans="1:8" x14ac:dyDescent="0.35">
      <c r="A13" t="s">
        <v>168</v>
      </c>
    </row>
    <row r="14" spans="1:8" x14ac:dyDescent="0.35">
      <c r="A14" t="s">
        <v>17</v>
      </c>
      <c r="D14" s="9">
        <f>-Input!B18</f>
        <v>-3000000</v>
      </c>
    </row>
    <row r="15" spans="1:8" x14ac:dyDescent="0.35">
      <c r="A15" t="s">
        <v>18</v>
      </c>
      <c r="D15" s="9">
        <f>-Input!B19</f>
        <v>-1100000</v>
      </c>
    </row>
    <row r="16" spans="1:8" x14ac:dyDescent="0.35">
      <c r="A16" t="s">
        <v>19</v>
      </c>
      <c r="D16" s="9">
        <f>-Input!B20</f>
        <v>-5000000</v>
      </c>
    </row>
    <row r="17" spans="1:8" x14ac:dyDescent="0.35">
      <c r="A17" t="s">
        <v>20</v>
      </c>
      <c r="D17" s="9">
        <f>-Input!B21</f>
        <v>-2000000</v>
      </c>
    </row>
    <row r="18" spans="1:8" x14ac:dyDescent="0.35">
      <c r="A18" t="s">
        <v>21</v>
      </c>
      <c r="D18" s="9">
        <f>-Input!B22</f>
        <v>-1000000</v>
      </c>
    </row>
    <row r="19" spans="1:8" x14ac:dyDescent="0.35">
      <c r="A19" t="s">
        <v>22</v>
      </c>
      <c r="D19" s="9">
        <f>-Input!B23</f>
        <v>-3500000</v>
      </c>
    </row>
    <row r="20" spans="1:8" x14ac:dyDescent="0.35">
      <c r="A20" s="32" t="s">
        <v>180</v>
      </c>
      <c r="B20" s="33"/>
      <c r="C20" s="34"/>
      <c r="D20" s="34">
        <f>-Input!B24</f>
        <v>-15600000</v>
      </c>
      <c r="E20" s="34">
        <f>-Input!C24</f>
        <v>0</v>
      </c>
      <c r="F20" s="34">
        <f>-Input!D24</f>
        <v>0</v>
      </c>
      <c r="G20" s="34">
        <f>-Input!E24</f>
        <v>0</v>
      </c>
      <c r="H20" s="34">
        <f>-Input!F24</f>
        <v>0</v>
      </c>
    </row>
    <row r="21" spans="1:8" x14ac:dyDescent="0.35">
      <c r="A21" s="1"/>
    </row>
    <row r="22" spans="1:8" s="1" customFormat="1" ht="15" thickBot="1" x14ac:dyDescent="0.4">
      <c r="A22" s="1" t="s">
        <v>160</v>
      </c>
      <c r="C22" s="11"/>
      <c r="D22" s="11"/>
      <c r="E22" s="11"/>
      <c r="F22" s="11"/>
      <c r="G22" s="11"/>
      <c r="H22" s="11"/>
    </row>
    <row r="23" spans="1:8" x14ac:dyDescent="0.35">
      <c r="A23" s="73" t="s">
        <v>144</v>
      </c>
      <c r="B23" s="25"/>
      <c r="C23" s="26"/>
      <c r="D23" s="26">
        <f>'Balance Sheet'!D5-'Balance Sheet'!C5</f>
        <v>15600000</v>
      </c>
      <c r="E23" s="26">
        <f>'Balance Sheet'!E5-'Balance Sheet'!D5</f>
        <v>0</v>
      </c>
      <c r="F23" s="26">
        <f>'Balance Sheet'!F5-'Balance Sheet'!E5</f>
        <v>0</v>
      </c>
      <c r="G23" s="26">
        <f>'Balance Sheet'!G5-'Balance Sheet'!F5</f>
        <v>0</v>
      </c>
      <c r="H23" s="26">
        <f>'Balance Sheet'!H5-'Balance Sheet'!G5</f>
        <v>0</v>
      </c>
    </row>
    <row r="25" spans="1:8" x14ac:dyDescent="0.35">
      <c r="A25" s="1" t="s">
        <v>162</v>
      </c>
      <c r="D25" s="9">
        <f>D23+D10+D20</f>
        <v>9399600.4290672801</v>
      </c>
      <c r="E25" s="9">
        <f t="shared" ref="E25:H25" si="2">E23+E10+E20</f>
        <v>7871634.1795133334</v>
      </c>
      <c r="F25" s="9">
        <f t="shared" si="2"/>
        <v>9954207.8055065405</v>
      </c>
      <c r="G25" s="9">
        <f t="shared" si="2"/>
        <v>10180340.774282275</v>
      </c>
      <c r="H25" s="9">
        <f t="shared" si="2"/>
        <v>9984346.1325345654</v>
      </c>
    </row>
    <row r="26" spans="1:8" x14ac:dyDescent="0.35">
      <c r="A26" t="s">
        <v>163</v>
      </c>
      <c r="D26" s="9">
        <f>C27</f>
        <v>0</v>
      </c>
      <c r="E26" s="9">
        <f t="shared" ref="E26:H26" si="3">D27</f>
        <v>9399600.4290672801</v>
      </c>
      <c r="F26" s="9">
        <f t="shared" si="3"/>
        <v>17271234.608580612</v>
      </c>
      <c r="G26" s="9">
        <f t="shared" si="3"/>
        <v>27225442.414087154</v>
      </c>
      <c r="H26" s="9">
        <f t="shared" si="3"/>
        <v>37405783.188369431</v>
      </c>
    </row>
    <row r="27" spans="1:8" x14ac:dyDescent="0.35">
      <c r="A27" s="32" t="s">
        <v>164</v>
      </c>
      <c r="B27" s="33"/>
      <c r="C27" s="34"/>
      <c r="D27" s="35">
        <f>D26+D25</f>
        <v>9399600.4290672801</v>
      </c>
      <c r="E27" s="35">
        <f t="shared" ref="E27:H27" si="4">E26+E25</f>
        <v>17271234.608580612</v>
      </c>
      <c r="F27" s="35">
        <f t="shared" si="4"/>
        <v>27225442.414087154</v>
      </c>
      <c r="G27" s="35">
        <f t="shared" si="4"/>
        <v>37405783.188369431</v>
      </c>
      <c r="H27" s="35">
        <f t="shared" si="4"/>
        <v>47390129.320903994</v>
      </c>
    </row>
    <row r="29" spans="1:8" x14ac:dyDescent="0.35">
      <c r="A29" s="77" t="s">
        <v>183</v>
      </c>
      <c r="B29" s="78"/>
      <c r="C29" s="79"/>
      <c r="D29" s="79"/>
      <c r="E29" s="79"/>
      <c r="F29" s="79"/>
      <c r="G29" s="79"/>
      <c r="H29" s="7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CC4A-1DBB-47E8-AC40-3B89E5C7656C}">
  <dimension ref="A1:H15"/>
  <sheetViews>
    <sheetView showGridLines="0" zoomScale="96" zoomScaleNormal="96" workbookViewId="0">
      <selection activeCell="A15" sqref="A15:H15"/>
    </sheetView>
  </sheetViews>
  <sheetFormatPr defaultRowHeight="14.5" x14ac:dyDescent="0.35"/>
  <cols>
    <col min="1" max="1" width="30.6328125" customWidth="1"/>
    <col min="2" max="2" width="12.6328125" customWidth="1"/>
    <col min="3" max="7" width="12.6328125" style="9" customWidth="1"/>
    <col min="8" max="8" width="13.816406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t="s">
        <v>35</v>
      </c>
      <c r="C3" s="9">
        <f>-Input!B4</f>
        <v>-45000000</v>
      </c>
    </row>
    <row r="4" spans="1:8" x14ac:dyDescent="0.35">
      <c r="A4" t="s">
        <v>26</v>
      </c>
      <c r="C4" s="9">
        <f>IF(B$2&gt;=Input!$B$2,MAX((Input!$B$4*Input!$B$7),B4*(1+Input!$B$8)),0)</f>
        <v>0</v>
      </c>
      <c r="D4" s="9">
        <f>IF(C$2&gt;=Input!$B$2,MAX((Input!$B$4*Input!$B$7),C4*(1+Input!$B$8)),0)</f>
        <v>2250000</v>
      </c>
      <c r="E4" s="9">
        <f>MAX((Input!$B$4*Input!$B$7),D4*(1+Input!$B$8))</f>
        <v>2430000</v>
      </c>
      <c r="F4" s="9">
        <f>MAX((Input!$B$4*Input!$B$7),E4*(1+Input!$B$8))</f>
        <v>2624400</v>
      </c>
      <c r="G4" s="9">
        <f>MAX((Input!$B$4*Input!$B$7),F4*(1+Input!$B$8))</f>
        <v>2834352</v>
      </c>
      <c r="H4" s="9">
        <f>MAX((Input!$B$4*Input!$B$7),G4*(1+Input!$B$8))</f>
        <v>3061100.16</v>
      </c>
    </row>
    <row r="5" spans="1:8" x14ac:dyDescent="0.35">
      <c r="A5" t="s">
        <v>28</v>
      </c>
      <c r="D5" s="9">
        <f>IF(D$2&gt;=Input!$B$2,Input!$B$10*Input!$B$11,0)</f>
        <v>300000</v>
      </c>
      <c r="E5" s="9">
        <f>IF(E$2&gt;=Input!$B$2,Input!$B$10*Input!$B$11,0)</f>
        <v>300000</v>
      </c>
      <c r="F5" s="9">
        <f>IF(F$2&gt;=Input!$B$2,Input!$B$10*Input!$B$11,0)</f>
        <v>300000</v>
      </c>
      <c r="G5" s="9">
        <f>IF(G$2&gt;=Input!$B$2,Input!$B$10*Input!$B$11,0)</f>
        <v>300000</v>
      </c>
      <c r="H5" s="9">
        <f>IF(H$2&gt;=Input!$B$2,Input!$B$10*Input!$B$11,0)</f>
        <v>300000</v>
      </c>
    </row>
    <row r="6" spans="1:8" x14ac:dyDescent="0.35">
      <c r="A6" t="s">
        <v>29</v>
      </c>
      <c r="C6" s="9">
        <f>Input!B10</f>
        <v>5000000</v>
      </c>
    </row>
    <row r="7" spans="1:8" x14ac:dyDescent="0.35">
      <c r="A7" s="41" t="s">
        <v>30</v>
      </c>
      <c r="B7" s="42"/>
      <c r="C7" s="47">
        <f>SUM(C4:C6)</f>
        <v>5000000</v>
      </c>
      <c r="D7" s="47">
        <f t="shared" ref="D7:H7" si="1">SUM(D4:D6)</f>
        <v>2550000</v>
      </c>
      <c r="E7" s="47">
        <f t="shared" si="1"/>
        <v>2730000</v>
      </c>
      <c r="F7" s="47">
        <f t="shared" si="1"/>
        <v>2924400</v>
      </c>
      <c r="G7" s="47">
        <f t="shared" si="1"/>
        <v>3134352</v>
      </c>
      <c r="H7" s="47">
        <f t="shared" si="1"/>
        <v>3361100.16</v>
      </c>
    </row>
    <row r="8" spans="1:8" x14ac:dyDescent="0.35">
      <c r="A8" t="s">
        <v>31</v>
      </c>
      <c r="D8" s="9">
        <f>D7*Input!$B$12+(Rentals!C6*Input!$B$12)</f>
        <v>1900335</v>
      </c>
      <c r="E8" s="9">
        <f>E7*Input!$B$12+(Rentals!D6*Input!$B$12)</f>
        <v>687141</v>
      </c>
      <c r="F8" s="9">
        <f>F7*Input!$B$12+(Rentals!E6*Input!$B$12)</f>
        <v>736071.48</v>
      </c>
      <c r="G8" s="9">
        <f>G7*Input!$B$12+(Rentals!F6*Input!$B$12)</f>
        <v>788916.39839999995</v>
      </c>
      <c r="H8" s="9">
        <f>H7*Input!$B$12+(Rentals!G6*Input!$B$12)</f>
        <v>845988.91027200001</v>
      </c>
    </row>
    <row r="9" spans="1:8" x14ac:dyDescent="0.35">
      <c r="A9" s="41" t="s">
        <v>32</v>
      </c>
      <c r="B9" s="42"/>
      <c r="C9" s="47">
        <f>C7-C8</f>
        <v>5000000</v>
      </c>
      <c r="D9" s="47">
        <f t="shared" ref="D9:H9" si="2">D7-D8</f>
        <v>649665</v>
      </c>
      <c r="E9" s="47">
        <f t="shared" si="2"/>
        <v>2042859</v>
      </c>
      <c r="F9" s="47">
        <f t="shared" si="2"/>
        <v>2188328.52</v>
      </c>
      <c r="G9" s="47">
        <f t="shared" si="2"/>
        <v>2345435.6016000002</v>
      </c>
      <c r="H9" s="47">
        <f t="shared" si="2"/>
        <v>2515111.2497280003</v>
      </c>
    </row>
    <row r="10" spans="1:8" x14ac:dyDescent="0.35">
      <c r="A10" s="1" t="s">
        <v>33</v>
      </c>
      <c r="H10" s="9">
        <f>Input!B4*(1+Input!B9)^Rentals!H1</f>
        <v>82909583.068499953</v>
      </c>
    </row>
    <row r="11" spans="1:8" x14ac:dyDescent="0.35">
      <c r="A11" s="32" t="s">
        <v>34</v>
      </c>
      <c r="B11" s="33"/>
      <c r="C11" s="34">
        <f>C9+C10+C3</f>
        <v>-40000000</v>
      </c>
      <c r="D11" s="34">
        <f t="shared" ref="D11:H11" si="3">D9+D10+D3</f>
        <v>649665</v>
      </c>
      <c r="E11" s="34">
        <f t="shared" si="3"/>
        <v>2042859</v>
      </c>
      <c r="F11" s="34">
        <f t="shared" si="3"/>
        <v>2188328.52</v>
      </c>
      <c r="G11" s="34">
        <f t="shared" si="3"/>
        <v>2345435.6016000002</v>
      </c>
      <c r="H11" s="34">
        <f t="shared" si="3"/>
        <v>85424694.318227947</v>
      </c>
    </row>
    <row r="13" spans="1:8" x14ac:dyDescent="0.35">
      <c r="A13" s="14" t="s">
        <v>36</v>
      </c>
      <c r="B13" s="15"/>
      <c r="C13" s="16">
        <f>XIRR(C11:H11,C2:H2)</f>
        <v>0.19159403443336487</v>
      </c>
    </row>
    <row r="15" spans="1:8" x14ac:dyDescent="0.35">
      <c r="A15" s="77" t="s">
        <v>183</v>
      </c>
      <c r="B15" s="78"/>
      <c r="C15" s="79"/>
      <c r="D15" s="79"/>
      <c r="E15" s="79"/>
      <c r="F15" s="79"/>
      <c r="G15" s="79"/>
      <c r="H15" s="7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3A90-59D6-43CF-8FD6-A8C4DB2E6F03}">
  <dimension ref="A1:H16"/>
  <sheetViews>
    <sheetView showGridLines="0" tabSelected="1" workbookViewId="0">
      <selection activeCell="E20" sqref="E20"/>
    </sheetView>
  </sheetViews>
  <sheetFormatPr defaultRowHeight="14.5" x14ac:dyDescent="0.35"/>
  <cols>
    <col min="1" max="1" width="31.90625" bestFit="1" customWidth="1"/>
    <col min="2" max="2" width="12.6328125" customWidth="1"/>
    <col min="3" max="3" width="14.7265625" style="9" bestFit="1" customWidth="1"/>
    <col min="4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3" spans="1:8" x14ac:dyDescent="0.35">
      <c r="A3" s="66" t="s">
        <v>175</v>
      </c>
      <c r="B3" s="64"/>
      <c r="C3" s="11">
        <f>-Input!B4</f>
        <v>-45000000</v>
      </c>
      <c r="D3" s="65"/>
      <c r="E3" s="65"/>
      <c r="F3" s="65"/>
      <c r="G3" s="65"/>
      <c r="H3" s="65"/>
    </row>
    <row r="4" spans="1:8" x14ac:dyDescent="0.35">
      <c r="A4" t="s">
        <v>114</v>
      </c>
      <c r="D4" s="9">
        <f>'P&amp;L'!D39</f>
        <v>7864521.9456000067</v>
      </c>
      <c r="E4" s="9">
        <f>'P&amp;L'!E39</f>
        <v>7809602.410240002</v>
      </c>
      <c r="F4" s="9">
        <f>'P&amp;L'!F39</f>
        <v>10887844.696704</v>
      </c>
      <c r="G4" s="9">
        <f>'P&amp;L'!G39</f>
        <v>10778995.876496002</v>
      </c>
      <c r="H4" s="9">
        <f>'P&amp;L'!H39</f>
        <v>10965425.421336018</v>
      </c>
    </row>
    <row r="5" spans="1:8" ht="15" thickBot="1" x14ac:dyDescent="0.4">
      <c r="A5" t="s">
        <v>169</v>
      </c>
      <c r="D5" s="9">
        <f>D4*Input!$B$12</f>
        <v>1979500.1737075215</v>
      </c>
      <c r="E5" s="9">
        <f>E4*Input!$B$12</f>
        <v>1965676.9266574082</v>
      </c>
      <c r="F5" s="9">
        <f>F4*Input!$B$12</f>
        <v>2740470.5101603968</v>
      </c>
      <c r="G5" s="9">
        <f>G4*Input!$B$12</f>
        <v>2713073.2621140433</v>
      </c>
      <c r="H5" s="9">
        <f>H4*Input!$B$12</f>
        <v>2759997.5785502754</v>
      </c>
    </row>
    <row r="6" spans="1:8" x14ac:dyDescent="0.35">
      <c r="A6" s="23" t="s">
        <v>170</v>
      </c>
      <c r="B6" s="23"/>
      <c r="C6" s="29"/>
      <c r="D6" s="29">
        <f>D4-D5</f>
        <v>5885021.7718924852</v>
      </c>
      <c r="E6" s="29">
        <f t="shared" ref="E6:H6" si="1">E4-E5</f>
        <v>5843925.4835825935</v>
      </c>
      <c r="F6" s="29">
        <f t="shared" si="1"/>
        <v>8147374.1865436034</v>
      </c>
      <c r="G6" s="29">
        <f t="shared" si="1"/>
        <v>8065922.6143819587</v>
      </c>
      <c r="H6" s="29">
        <f t="shared" si="1"/>
        <v>8205427.8427857421</v>
      </c>
    </row>
    <row r="7" spans="1:8" x14ac:dyDescent="0.35">
      <c r="A7" t="s">
        <v>171</v>
      </c>
      <c r="D7" s="9">
        <f>Cashflow!D6</f>
        <v>1585000</v>
      </c>
      <c r="E7" s="9">
        <f>Cashflow!E6</f>
        <v>1585000</v>
      </c>
      <c r="F7" s="9">
        <f>Cashflow!F6</f>
        <v>1585000</v>
      </c>
      <c r="G7" s="9">
        <f>Cashflow!G6</f>
        <v>1585000</v>
      </c>
      <c r="H7" s="9">
        <f>Cashflow!H6</f>
        <v>1585000</v>
      </c>
    </row>
    <row r="8" spans="1:8" x14ac:dyDescent="0.35">
      <c r="A8" t="s">
        <v>172</v>
      </c>
      <c r="D8" s="9">
        <f>SUM(Cashflow!D8:D9)</f>
        <v>1929578.6571747942</v>
      </c>
      <c r="E8" s="9">
        <f>SUM(Cashflow!E8:E9)</f>
        <v>442708.6959307394</v>
      </c>
      <c r="F8" s="9">
        <f>SUM(Cashflow!F8:F9)</f>
        <v>221833.61896293744</v>
      </c>
      <c r="G8" s="9">
        <f>SUM(Cashflow!G8:G9)</f>
        <v>529418.1599003179</v>
      </c>
      <c r="H8" s="9">
        <f>SUM(Cashflow!H8:H9)</f>
        <v>193918.28974882234</v>
      </c>
    </row>
    <row r="9" spans="1:8" x14ac:dyDescent="0.35">
      <c r="A9" t="s">
        <v>173</v>
      </c>
      <c r="C9" s="9">
        <f>-Input!B24</f>
        <v>-15600000</v>
      </c>
    </row>
    <row r="10" spans="1:8" ht="15" thickBot="1" x14ac:dyDescent="0.4">
      <c r="A10" s="74" t="s">
        <v>174</v>
      </c>
      <c r="B10" s="32"/>
      <c r="C10" s="35">
        <f>C9+C8+C7+C6+C3</f>
        <v>-60600000</v>
      </c>
      <c r="D10" s="35">
        <f t="shared" ref="D10:H10" si="2">D9+D8+D7+D6</f>
        <v>9399600.4290672801</v>
      </c>
      <c r="E10" s="35">
        <f t="shared" si="2"/>
        <v>7871634.1795133334</v>
      </c>
      <c r="F10" s="35">
        <f t="shared" si="2"/>
        <v>9954207.8055065405</v>
      </c>
      <c r="G10" s="35">
        <f t="shared" si="2"/>
        <v>10180340.774282277</v>
      </c>
      <c r="H10" s="35">
        <f t="shared" si="2"/>
        <v>9984346.1325345635</v>
      </c>
    </row>
    <row r="11" spans="1:8" x14ac:dyDescent="0.35">
      <c r="A11" s="67" t="s">
        <v>33</v>
      </c>
      <c r="B11" s="67"/>
      <c r="C11" s="68"/>
      <c r="D11" s="68"/>
      <c r="E11" s="68"/>
      <c r="F11" s="68"/>
      <c r="G11" s="68"/>
      <c r="H11" s="68">
        <f>H10*(1+Input!B104)/(Input!B103-Input!B104)</f>
        <v>80642795.685856089</v>
      </c>
    </row>
    <row r="12" spans="1:8" x14ac:dyDescent="0.35">
      <c r="A12" s="32" t="s">
        <v>174</v>
      </c>
      <c r="B12" s="33"/>
      <c r="C12" s="34">
        <f t="shared" ref="C12:G12" si="3">C10+C11</f>
        <v>-60600000</v>
      </c>
      <c r="D12" s="34">
        <f t="shared" si="3"/>
        <v>9399600.4290672801</v>
      </c>
      <c r="E12" s="34">
        <f t="shared" si="3"/>
        <v>7871634.1795133334</v>
      </c>
      <c r="F12" s="34">
        <f t="shared" si="3"/>
        <v>9954207.8055065405</v>
      </c>
      <c r="G12" s="34">
        <f t="shared" si="3"/>
        <v>10180340.774282277</v>
      </c>
      <c r="H12" s="34">
        <f>H10+H11</f>
        <v>90627141.818390653</v>
      </c>
    </row>
    <row r="13" spans="1:8" x14ac:dyDescent="0.35">
      <c r="A13" s="67"/>
    </row>
    <row r="14" spans="1:8" x14ac:dyDescent="0.35">
      <c r="A14" s="14" t="s">
        <v>36</v>
      </c>
      <c r="B14" s="15"/>
      <c r="C14" s="16">
        <f>XIRR(C12:H12,C2:H2)</f>
        <v>0.1989784061908722</v>
      </c>
    </row>
    <row r="16" spans="1:8" x14ac:dyDescent="0.35">
      <c r="A16" s="77" t="s">
        <v>183</v>
      </c>
      <c r="B16" s="78"/>
      <c r="C16" s="79"/>
      <c r="D16" s="79"/>
      <c r="E16" s="79"/>
      <c r="F16" s="79"/>
      <c r="G16" s="79"/>
      <c r="H16" s="7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729F-CE90-454C-B0BA-6EF45DF2DBF9}">
  <dimension ref="A1:H9"/>
  <sheetViews>
    <sheetView showGridLines="0" workbookViewId="0">
      <selection activeCell="A9" sqref="A9:H9"/>
    </sheetView>
  </sheetViews>
  <sheetFormatPr defaultRowHeight="14.5" x14ac:dyDescent="0.35"/>
  <cols>
    <col min="1" max="1" width="30.6328125" customWidth="1"/>
    <col min="2" max="2" width="12.6328125" customWidth="1"/>
    <col min="3" max="3" width="17.81640625" style="9" bestFit="1" customWidth="1"/>
    <col min="4" max="8" width="12.6328125" style="9" customWidth="1"/>
    <col min="9" max="9" width="12.6328125" customWidth="1"/>
  </cols>
  <sheetData>
    <row r="1" spans="1:8" x14ac:dyDescent="0.35">
      <c r="A1" s="2" t="s">
        <v>0</v>
      </c>
      <c r="B1" s="2"/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</row>
    <row r="2" spans="1:8" x14ac:dyDescent="0.35">
      <c r="A2" s="2" t="s">
        <v>1</v>
      </c>
      <c r="B2" s="2"/>
      <c r="C2" s="8">
        <f>Input!B2</f>
        <v>45748</v>
      </c>
      <c r="D2" s="8">
        <f>EOMONTH(C2,11)</f>
        <v>46112</v>
      </c>
      <c r="E2" s="8">
        <f>EOMONTH(D2,12)</f>
        <v>46477</v>
      </c>
      <c r="F2" s="8">
        <f>EOMONTH(E2,12)</f>
        <v>46843</v>
      </c>
      <c r="G2" s="8">
        <f t="shared" ref="F2:H2" si="0">EOMONTH(F2,12)</f>
        <v>47208</v>
      </c>
      <c r="H2" s="8">
        <f t="shared" si="0"/>
        <v>47573</v>
      </c>
    </row>
    <row r="4" spans="1:8" x14ac:dyDescent="0.35">
      <c r="A4" t="s">
        <v>178</v>
      </c>
      <c r="C4" s="69">
        <f>'Mc Donalds Franchise'!C14</f>
        <v>0.1989784061908722</v>
      </c>
    </row>
    <row r="5" spans="1:8" x14ac:dyDescent="0.35">
      <c r="A5" t="s">
        <v>176</v>
      </c>
      <c r="C5" s="69">
        <f>Rentals!C13</f>
        <v>0.19159403443336487</v>
      </c>
    </row>
    <row r="6" spans="1:8" x14ac:dyDescent="0.35">
      <c r="C6" s="69"/>
    </row>
    <row r="7" spans="1:8" x14ac:dyDescent="0.35">
      <c r="A7" s="75" t="s">
        <v>177</v>
      </c>
      <c r="B7" s="75"/>
      <c r="C7" s="76" t="str">
        <f>IF(C4&gt;C5,"Go for McDonald's","GoforRental")</f>
        <v>Go for McDonald's</v>
      </c>
    </row>
    <row r="9" spans="1:8" x14ac:dyDescent="0.35">
      <c r="A9" s="77" t="s">
        <v>183</v>
      </c>
      <c r="B9" s="78"/>
      <c r="C9" s="79"/>
      <c r="D9" s="79"/>
      <c r="E9" s="79"/>
      <c r="F9" s="79"/>
      <c r="G9" s="79"/>
      <c r="H9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</vt:lpstr>
      <vt:lpstr>Revenue</vt:lpstr>
      <vt:lpstr>Fixed Assets</vt:lpstr>
      <vt:lpstr>P&amp;L</vt:lpstr>
      <vt:lpstr>Balance Sheet</vt:lpstr>
      <vt:lpstr>Cashflow</vt:lpstr>
      <vt:lpstr>Rentals</vt:lpstr>
      <vt:lpstr>Mc Donalds Franchise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Pradeep Chandra</dc:creator>
  <cp:lastModifiedBy>C Pradeep Chandra</cp:lastModifiedBy>
  <cp:lastPrinted>2026-03-28T17:14:26Z</cp:lastPrinted>
  <dcterms:created xsi:type="dcterms:W3CDTF">2026-03-28T08:12:42Z</dcterms:created>
  <dcterms:modified xsi:type="dcterms:W3CDTF">2026-03-28T18:27:23Z</dcterms:modified>
</cp:coreProperties>
</file>